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ac/Documents/Work/Projects/TIEN PHONG CDS/cto-ai-assistant/.claude/drafts/"/>
    </mc:Choice>
  </mc:AlternateContent>
  <xr:revisionPtr revIDLastSave="0" documentId="13_ncr:1_{13F18674-79D8-1F42-93B1-8174FD528D95}" xr6:coauthVersionLast="47" xr6:coauthVersionMax="47" xr10:uidLastSave="{00000000-0000-0000-0000-000000000000}"/>
  <bookViews>
    <workbookView xWindow="0" yWindow="660" windowWidth="30240" windowHeight="18980" tabRatio="500" activeTab="3" xr2:uid="{00000000-000D-0000-FFFF-FFFF00000000}"/>
  </bookViews>
  <sheets>
    <sheet name="Dashboard" sheetId="1" r:id="rId1"/>
    <sheet name="Danh Sách Dự Án" sheetId="2" r:id="rId2"/>
    <sheet name="Tiến Độ Hợp Đồng" sheetId="3" r:id="rId3"/>
    <sheet name="Nhân Sự Dự Án" sheetId="4" r:id="rId4"/>
    <sheet name="Rủi Ro &amp; Vấn Đề" sheetId="5" r:id="rId5"/>
    <sheet name="Báo Cáo Tháng" sheetId="6" r:id="rId6"/>
    <sheet name="Config"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4" i="3" l="1"/>
  <c r="V7" i="3"/>
  <c r="W7" i="3" s="1"/>
  <c r="V8" i="3"/>
  <c r="V5" i="3"/>
  <c r="W5" i="3" s="1"/>
  <c r="J6" i="2"/>
  <c r="L6" i="2" s="1"/>
  <c r="B22" i="6"/>
  <c r="B21" i="6"/>
  <c r="B20" i="6"/>
  <c r="B10" i="6"/>
  <c r="B9" i="6"/>
  <c r="B8" i="6"/>
  <c r="B7" i="6"/>
  <c r="B6" i="6"/>
  <c r="B5" i="6"/>
  <c r="B18" i="5"/>
  <c r="B17" i="5"/>
  <c r="B16" i="5"/>
  <c r="B15" i="5"/>
  <c r="B14" i="5"/>
  <c r="J11" i="5"/>
  <c r="I11" i="5"/>
  <c r="H11" i="5"/>
  <c r="K11" i="5" s="1"/>
  <c r="J10" i="5"/>
  <c r="I10" i="5"/>
  <c r="H10" i="5"/>
  <c r="K10" i="5" s="1"/>
  <c r="J9" i="5"/>
  <c r="I9" i="5"/>
  <c r="H9" i="5"/>
  <c r="K9" i="5" s="1"/>
  <c r="J8" i="5"/>
  <c r="I8" i="5"/>
  <c r="H8" i="5"/>
  <c r="K8" i="5" s="1"/>
  <c r="J7" i="5"/>
  <c r="I7" i="5"/>
  <c r="H7" i="5"/>
  <c r="K7" i="5" s="1"/>
  <c r="J6" i="5"/>
  <c r="I6" i="5"/>
  <c r="H6" i="5"/>
  <c r="K6" i="5" s="1"/>
  <c r="J5" i="5"/>
  <c r="I5" i="5"/>
  <c r="H5" i="5"/>
  <c r="K5" i="5" s="1"/>
  <c r="J4" i="5"/>
  <c r="I4" i="5"/>
  <c r="H4" i="5"/>
  <c r="K4" i="5" s="1"/>
  <c r="G25" i="4"/>
  <c r="F25" i="4"/>
  <c r="H21" i="4"/>
  <c r="H12" i="4"/>
  <c r="H11" i="4"/>
  <c r="H10" i="4"/>
  <c r="H9" i="4"/>
  <c r="H8" i="4"/>
  <c r="H7" i="4"/>
  <c r="H6" i="4"/>
  <c r="H5" i="4"/>
  <c r="H4" i="4"/>
  <c r="N9" i="3"/>
  <c r="J9" i="3"/>
  <c r="E9" i="3"/>
  <c r="X8" i="3"/>
  <c r="Q11" i="2"/>
  <c r="B26" i="6" s="1"/>
  <c r="N11" i="2"/>
  <c r="D12" i="1" s="1"/>
  <c r="M11" i="2"/>
  <c r="K11" i="2"/>
  <c r="B11" i="6" s="1"/>
  <c r="P10" i="2"/>
  <c r="O10" i="2"/>
  <c r="J10" i="2"/>
  <c r="L10" i="2" s="1"/>
  <c r="P9" i="2"/>
  <c r="O9" i="2"/>
  <c r="J9" i="2"/>
  <c r="P8" i="2"/>
  <c r="O8" i="2"/>
  <c r="J8" i="2"/>
  <c r="L8" i="2" s="1"/>
  <c r="P7" i="2"/>
  <c r="O7" i="2"/>
  <c r="J7" i="2"/>
  <c r="L7" i="2" s="1"/>
  <c r="P6" i="2"/>
  <c r="O6" i="2"/>
  <c r="P5" i="2"/>
  <c r="O5" i="2"/>
  <c r="J5" i="2"/>
  <c r="L5" i="2" s="1"/>
  <c r="A2" i="2"/>
  <c r="B25" i="1"/>
  <c r="B24" i="1"/>
  <c r="B23" i="1"/>
  <c r="B22" i="1"/>
  <c r="D17" i="1"/>
  <c r="A17" i="1"/>
  <c r="K7" i="1"/>
  <c r="I7" i="1"/>
  <c r="G7" i="1"/>
  <c r="E7" i="1"/>
  <c r="C7" i="1"/>
  <c r="A7" i="1"/>
  <c r="D3" i="1"/>
  <c r="H25" i="4" l="1"/>
  <c r="B27" i="6" s="1"/>
  <c r="B28" i="6"/>
  <c r="V6" i="3"/>
  <c r="W6" i="3" s="1"/>
  <c r="F9" i="3"/>
  <c r="O11" i="2"/>
  <c r="G17" i="1"/>
  <c r="P11" i="2"/>
  <c r="J12" i="1" s="1"/>
  <c r="J11" i="2"/>
  <c r="B23" i="6"/>
  <c r="B19" i="5"/>
  <c r="G12" i="1"/>
  <c r="B16" i="6"/>
  <c r="B17" i="6"/>
  <c r="X7" i="3"/>
  <c r="B14" i="6"/>
  <c r="W4" i="3"/>
  <c r="B15" i="6"/>
  <c r="X4" i="3"/>
  <c r="W8" i="3"/>
  <c r="X5" i="3"/>
  <c r="L9" i="2"/>
  <c r="A12" i="1"/>
  <c r="J17" i="1" l="1"/>
  <c r="X6" i="3"/>
  <c r="V9" i="3"/>
  <c r="X9" i="3" s="1"/>
  <c r="W9" i="3"/>
</calcChain>
</file>

<file path=xl/sharedStrings.xml><?xml version="1.0" encoding="utf-8"?>
<sst xmlns="http://schemas.openxmlformats.org/spreadsheetml/2006/main" count="589" uniqueCount="284">
  <si>
    <t>BÁO CÁO TIẾN ĐỘ DỰ ÁN - TIÊN PHONG CDS</t>
  </si>
  <si>
    <t>CTO Project Status Report</t>
  </si>
  <si>
    <t>Kỳ báo cáo:</t>
  </si>
  <si>
    <t>Tháng 3</t>
  </si>
  <si>
    <t>Ngày tạo:</t>
  </si>
  <si>
    <t>TỔNG QUAN DỰ ÁN</t>
  </si>
  <si>
    <t>Tổng Dự Án</t>
  </si>
  <si>
    <t>On Track</t>
  </si>
  <si>
    <t>At Risk</t>
  </si>
  <si>
    <t>Delayed</t>
  </si>
  <si>
    <t>Completed</t>
  </si>
  <si>
    <t>% HT Trung Bình</t>
  </si>
  <si>
    <t>TỔNG QUAN TÀI CHÍNH</t>
  </si>
  <si>
    <t>Tổng Giá Trị HĐ (VNĐ)</t>
  </si>
  <si>
    <t>Đã Thu (VNĐ)</t>
  </si>
  <si>
    <t>Còn Phải Thu (VNĐ)</t>
  </si>
  <si>
    <t>% Đã Thanh Toán</t>
  </si>
  <si>
    <t>RỦI RO &amp; NHÂN SỰ</t>
  </si>
  <si>
    <t>Tổng Rủi Ro</t>
  </si>
  <si>
    <t>Critical</t>
  </si>
  <si>
    <t>Tổng Nhân Sự</t>
  </si>
  <si>
    <t>Utilization Rate TB</t>
  </si>
  <si>
    <t>Trạng Thái</t>
  </si>
  <si>
    <t>Số lượng</t>
  </si>
  <si>
    <t>BÁO CÁO TỔNG HỢP DỰ ÁN - TIÊN PHONG CDS</t>
  </si>
  <si>
    <t>STT</t>
  </si>
  <si>
    <t>Mã DA</t>
  </si>
  <si>
    <t>Tên Dự Án</t>
  </si>
  <si>
    <t>Khách Hàng</t>
  </si>
  <si>
    <t>PM Phụ Trách</t>
  </si>
  <si>
    <t>Ngày BĐ</t>
  </si>
  <si>
    <t>Ngày KT (KH)</t>
  </si>
  <si>
    <t>Ngày KT (TT)</t>
  </si>
  <si>
    <t>% HT Kế Hoạch</t>
  </si>
  <si>
    <t>% HT Thực Tế</t>
  </si>
  <si>
    <t>Chênh Lệch</t>
  </si>
  <si>
    <t>Giá Trị HĐ (VNĐ)</t>
  </si>
  <si>
    <t>Đã Thanh Toán (VNĐ)</t>
  </si>
  <si>
    <t>Còn Lại (VNĐ)</t>
  </si>
  <si>
    <t>% Thanh Toán</t>
  </si>
  <si>
    <t>Số Nhân Sự</t>
  </si>
  <si>
    <t>Mức Ưu Tiên</t>
  </si>
  <si>
    <t>Ghi Chú</t>
  </si>
  <si>
    <t>CDS-2026-001</t>
  </si>
  <si>
    <t>CDS Platform - Module Sales</t>
  </si>
  <si>
    <t>Nguyễn Văn Minh</t>
  </si>
  <si>
    <t>High</t>
  </si>
  <si>
    <t>CDS-2026-002</t>
  </si>
  <si>
    <t>ERP Integration Gateway</t>
  </si>
  <si>
    <t>Nova Group</t>
  </si>
  <si>
    <t>Trần Thị Hương</t>
  </si>
  <si>
    <t>CDS-2026-003</t>
  </si>
  <si>
    <t>Data Analytics Dashboard</t>
  </si>
  <si>
    <t>Lê Quốc Bảo</t>
  </si>
  <si>
    <t>Medium</t>
  </si>
  <si>
    <t>CDS-2026-004</t>
  </si>
  <si>
    <t>CDS-2026-005</t>
  </si>
  <si>
    <t>Supply Chain Optimization</t>
  </si>
  <si>
    <t>Nguyễn Thị Lan</t>
  </si>
  <si>
    <t>CDS-2026-006</t>
  </si>
  <si>
    <t>Mobile App - Customer Portal</t>
  </si>
  <si>
    <t>Hoàng Minh Tuấn</t>
  </si>
  <si>
    <t>CDS-2026-007</t>
  </si>
  <si>
    <t>AI Chatbot Integration</t>
  </si>
  <si>
    <t>Võ Thanh Tùng</t>
  </si>
  <si>
    <t>TỔNG CỘNG</t>
  </si>
  <si>
    <t>THEO DÕI TIẾN ĐỘ THANH TOÁN HỢP ĐỒNG</t>
  </si>
  <si>
    <t>Đợt 1 - Số Tiền</t>
  </si>
  <si>
    <t>Đợt 1 - Ngày DK</t>
  </si>
  <si>
    <t>Đợt 1 - Ngày TT</t>
  </si>
  <si>
    <t>Đợt 1 - TT</t>
  </si>
  <si>
    <t>Đợt 2 - Số Tiền</t>
  </si>
  <si>
    <t>Đợt 2 - Ngày DK</t>
  </si>
  <si>
    <t>Đợt 2 - Ngày TT</t>
  </si>
  <si>
    <t>Đợt 2 - TT</t>
  </si>
  <si>
    <t>Đợt 3 - Số Tiền</t>
  </si>
  <si>
    <t>Đợt 3 - Ngày DK</t>
  </si>
  <si>
    <t>Đợt 3 - Ngày TT</t>
  </si>
  <si>
    <t>Đợt 3 - TT</t>
  </si>
  <si>
    <t>Tổng Đã Thu (VNĐ)</t>
  </si>
  <si>
    <t>Tổng Còn Thu (VNĐ)</t>
  </si>
  <si>
    <t>% Thu</t>
  </si>
  <si>
    <t>Đã thanh toán</t>
  </si>
  <si>
    <t>Chưa đến hạn</t>
  </si>
  <si>
    <t>Chờ thanh toán</t>
  </si>
  <si>
    <t>PHÂN BỔ NHÂN SỰ DỰ ÁN</t>
  </si>
  <si>
    <t>Họ Tên</t>
  </si>
  <si>
    <t>Vị Trí</t>
  </si>
  <si>
    <t>Dự Án</t>
  </si>
  <si>
    <t>Vai Trò Trong DA</t>
  </si>
  <si>
    <t>Giờ Phân Bổ/Tuần</t>
  </si>
  <si>
    <t>Giờ Thực Tế/Tuần</t>
  </si>
  <si>
    <t>Utilization Rate</t>
  </si>
  <si>
    <t>Project Manager</t>
  </si>
  <si>
    <t>Active</t>
  </si>
  <si>
    <t>Lead PM</t>
  </si>
  <si>
    <t>Overloaded</t>
  </si>
  <si>
    <t>Cần hỗ trợ</t>
  </si>
  <si>
    <t>Tech Lead</t>
  </si>
  <si>
    <t>Available</t>
  </si>
  <si>
    <t>DA đã hoàn thành</t>
  </si>
  <si>
    <t>Thiếu resource</t>
  </si>
  <si>
    <t>AI Engineer</t>
  </si>
  <si>
    <t>Mới join</t>
  </si>
  <si>
    <t>Backend Dev</t>
  </si>
  <si>
    <t>Developer</t>
  </si>
  <si>
    <t>Frontend Dev</t>
  </si>
  <si>
    <t>BA</t>
  </si>
  <si>
    <t>Business Analyst</t>
  </si>
  <si>
    <t>Hỗ trợ thêm DA005</t>
  </si>
  <si>
    <t>QA Engineer</t>
  </si>
  <si>
    <t>QA cho 2 DA</t>
  </si>
  <si>
    <t>DevOps</t>
  </si>
  <si>
    <t>DevOps Engineer</t>
  </si>
  <si>
    <t>Infra setup</t>
  </si>
  <si>
    <t>TRUNG BÌNH</t>
  </si>
  <si>
    <t>MA TRẬN NHÂN SỰ x DỰ ÁN</t>
  </si>
  <si>
    <t>Nhân Sự \ Dự Án</t>
  </si>
  <si>
    <t>-</t>
  </si>
  <si>
    <t>QUẢN LÝ RỦI RO &amp; VẤN ĐỀ DỰ ÁN</t>
  </si>
  <si>
    <t>Mô Tả Rủi Ro / Vấn Đề</t>
  </si>
  <si>
    <t>Mức Nghiêm Trọng</t>
  </si>
  <si>
    <t>Xác Suất</t>
  </si>
  <si>
    <t>Mức Ảnh Hưởng</t>
  </si>
  <si>
    <t>Điểm Severity</t>
  </si>
  <si>
    <t>Điểm Probability</t>
  </si>
  <si>
    <t>Điểm Impact</t>
  </si>
  <si>
    <t>Risk Score</t>
  </si>
  <si>
    <t>Người Chịu TN</t>
  </si>
  <si>
    <t>Hành Động Giảm Thiểu</t>
  </si>
  <si>
    <t>Deadline</t>
  </si>
  <si>
    <t>API vendor thay đổi spec không thông báo</t>
  </si>
  <si>
    <t>Cao (70%)</t>
  </si>
  <si>
    <t>Escalate vendor, backup plan API wrapper</t>
  </si>
  <si>
    <t>Open</t>
  </si>
  <si>
    <t>Thiếu BA có kinh nghiệm supply chain</t>
  </si>
  <si>
    <t>Rất cao (90%)</t>
  </si>
  <si>
    <t>Tuyển BA freelance, training nội bộ</t>
  </si>
  <si>
    <t>In Progress</t>
  </si>
  <si>
    <t>Budget có thể vượt 15% do scope creep</t>
  </si>
  <si>
    <t>Change request formal, freeze scope Phase 1</t>
  </si>
  <si>
    <t>Performance bottleneck khi load &gt;1000 concurrent users</t>
  </si>
  <si>
    <t>Trung bình (50%)</t>
  </si>
  <si>
    <t>Load testing, optimize query, caching</t>
  </si>
  <si>
    <t>iOS review policy thay đổi có thể delay release</t>
  </si>
  <si>
    <t>Thấp (30%)</t>
  </si>
  <si>
    <t>Submit sớm, prepare documentation đầy đủ</t>
  </si>
  <si>
    <t>Model AI response chưa đạt accuracy 95% target</t>
  </si>
  <si>
    <t>Fine-tune model, expand training data</t>
  </si>
  <si>
    <t>Key developer có thể nghỉ việc</t>
  </si>
  <si>
    <t>Knowledge transfer, documentation, retention plan</t>
  </si>
  <si>
    <t>Escalated</t>
  </si>
  <si>
    <t>Data quality từ source system không ổn định</t>
  </si>
  <si>
    <t>Data validation layer, ETL error handling</t>
  </si>
  <si>
    <t>TỔNG HỢP RỦI RO</t>
  </si>
  <si>
    <t>Tổng số rủi ro:</t>
  </si>
  <si>
    <t>Critical:</t>
  </si>
  <si>
    <t>High:</t>
  </si>
  <si>
    <t>Open:</t>
  </si>
  <si>
    <t>Escalated:</t>
  </si>
  <si>
    <t>Risk Score TB:</t>
  </si>
  <si>
    <t>RISK MATRIX (Severity x Probability)</t>
  </si>
  <si>
    <t>Low (1)</t>
  </si>
  <si>
    <t>Medium (2)</t>
  </si>
  <si>
    <t>High (3)</t>
  </si>
  <si>
    <t>Critical (4)</t>
  </si>
  <si>
    <t>Rất cao (5)</t>
  </si>
  <si>
    <t>Cao (4)</t>
  </si>
  <si>
    <t>TB (3)</t>
  </si>
  <si>
    <t>Thấp (2)</t>
  </si>
  <si>
    <t>Rất thấp (1)</t>
  </si>
  <si>
    <t>BÁO CÁO TỔNG HỢP THÁNG</t>
  </si>
  <si>
    <t>Kỳ:</t>
  </si>
  <si>
    <t>Năm:</t>
  </si>
  <si>
    <t>1. TỔNG QUAN DỰ ÁN</t>
  </si>
  <si>
    <t>Tổng số dự án đang triển khai</t>
  </si>
  <si>
    <t>Dự án On Track</t>
  </si>
  <si>
    <t>Dự án At Risk</t>
  </si>
  <si>
    <t>Dự án Delayed</t>
  </si>
  <si>
    <t>Dự án Completed</t>
  </si>
  <si>
    <t>% Dự án On Track</t>
  </si>
  <si>
    <t>% Hoàn thành trung bình</t>
  </si>
  <si>
    <t>2. TÀI CHÍNH</t>
  </si>
  <si>
    <t>Tổng giá trị hợp đồng</t>
  </si>
  <si>
    <t>Tổng đã thu</t>
  </si>
  <si>
    <t>Tổng còn phải thu</t>
  </si>
  <si>
    <t>% Đã thu</t>
  </si>
  <si>
    <t>3. RỦI RO CẦN XỬ LÝ</t>
  </si>
  <si>
    <t>Tổng số rủi ro đang mở</t>
  </si>
  <si>
    <t>Rủi ro Critical</t>
  </si>
  <si>
    <t>Rủi ro đã Escalated</t>
  </si>
  <si>
    <t>Risk Score trung bình</t>
  </si>
  <si>
    <t>4. NHÂN SỰ</t>
  </si>
  <si>
    <t>Tổng nhân sự tham gia DA</t>
  </si>
  <si>
    <t>Utilization Rate trung bình</t>
  </si>
  <si>
    <t>Nhân sự overloaded (&gt;110%)</t>
  </si>
  <si>
    <t>5. HIGHLIGHTS</t>
  </si>
  <si>
    <t>1.</t>
  </si>
  <si>
    <t>[Nhập highlight]</t>
  </si>
  <si>
    <t>2.</t>
  </si>
  <si>
    <t>3.</t>
  </si>
  <si>
    <t>4.</t>
  </si>
  <si>
    <t>5.</t>
  </si>
  <si>
    <t>6. LOWLIGHTS / VẤN ĐỀ</t>
  </si>
  <si>
    <t>[Nhập vấn đề]</t>
  </si>
  <si>
    <t>7. ACTION ITEMS</t>
  </si>
  <si>
    <t>Action Item</t>
  </si>
  <si>
    <t>Người Phụ Trách</t>
  </si>
  <si>
    <t>CẤU HÌNH HỆ THỐNG</t>
  </si>
  <si>
    <t>Tháng</t>
  </si>
  <si>
    <t>Năm</t>
  </si>
  <si>
    <t>Trạng Thái Dự Án</t>
  </si>
  <si>
    <t>Trạng Thái Rủi Ro</t>
  </si>
  <si>
    <t>TT Thanh Toán</t>
  </si>
  <si>
    <t>Tháng 1</t>
  </si>
  <si>
    <t>Tháng 2</t>
  </si>
  <si>
    <t>Resolved</t>
  </si>
  <si>
    <t>Quá hạn</t>
  </si>
  <si>
    <t>Tháng 4</t>
  </si>
  <si>
    <t>Low</t>
  </si>
  <si>
    <t>Closed</t>
  </si>
  <si>
    <t>Tháng 5</t>
  </si>
  <si>
    <t>On Hold</t>
  </si>
  <si>
    <t>Rất thấp (10%)</t>
  </si>
  <si>
    <t>Tháng 6</t>
  </si>
  <si>
    <t>Tháng 7</t>
  </si>
  <si>
    <t>Tháng 8</t>
  </si>
  <si>
    <t>Tháng 9</t>
  </si>
  <si>
    <t>Tháng 10</t>
  </si>
  <si>
    <t>Tháng 11</t>
  </si>
  <si>
    <t>Tháng 12</t>
  </si>
  <si>
    <t>BẢNG QUY ĐỔI ĐIỂM RỦI RO</t>
  </si>
  <si>
    <t>Mức</t>
  </si>
  <si>
    <t>Điểm</t>
  </si>
  <si>
    <t>SmartShop - Sàn giao dịch TMDT</t>
  </si>
  <si>
    <t>SmartNet</t>
  </si>
  <si>
    <t>Thái Hoàng Mai Học</t>
  </si>
  <si>
    <t>Novagroup - Nền tảng eSales &amp; eMarketing</t>
  </si>
  <si>
    <t>DuLichViet</t>
  </si>
  <si>
    <t>VietNamFoodMap - VCCA</t>
  </si>
  <si>
    <t>AI Code - R&amp;D</t>
  </si>
  <si>
    <t>CÔNG TY CỔ PHẦN TRUYỀN THÔNG DU LỊCH VIỆT</t>
  </si>
  <si>
    <t>Đinh Lê Trung Hiếu</t>
  </si>
  <si>
    <t>Nội bộ</t>
  </si>
  <si>
    <t>TPCOMS – Công ty Cổ phần Công nghệ Tiên Phát</t>
  </si>
  <si>
    <t>TPX - Sàn TMDT công nghệ</t>
  </si>
  <si>
    <t>Nguyễn Diên Sỹ Đạo</t>
  </si>
  <si>
    <t>Phase 2 đang triển khai
https://docs.google.com/spreadsheets/d/14lUS48-bgq5VzhtSzPtCaszZI8IwNMY9/edit?gid=1436417658#gid=1436417658</t>
  </si>
  <si>
    <t>Đã gửi hợp đồng &amp; giải pháp, khách hàng chưa chốt</t>
  </si>
  <si>
    <t>Đang trong giai đoạn tổng hợp các thông tin nghiệm thu để yêu cầu Vietravel nghiệm thu theo tiến độ (250tr tiếp theo của giai đoạn 1). Sau đó sẽ đi theo kế hoạch mới, có sự tham gia tiếp tục của Vietravel</t>
  </si>
  <si>
    <t>Dự án cốt lỗi sử dụng AI đi full quy trình, là bệ phóng cho các dự án sau này, nếu dự án này triển khai thành công, các dự án sau sẽ được tối ưu về hiệu suất và tốc độ</t>
  </si>
  <si>
    <t>Đang trong giai đoạn demo &amp; PoC, dự án này vừa là khách hàng vừa là nhà đầu tư dự kiến</t>
  </si>
  <si>
    <t>Hiệp hội Văn Hóa Ẩm Thực Việt Nam</t>
  </si>
  <si>
    <t>Đang trong giai đoạn phân tích &amp; khảo sát
Phía BoD của Nova đang process hợp đồng, khi ký sẽ tiến hành thanh toán đợt 1 trong 15 ngày sau ký HD - 20% tương đương (1.262.500.000 - tạm ứng chưa XHD)</t>
  </si>
  <si>
    <t>Đợt 4 - Số Tiền</t>
  </si>
  <si>
    <t>Đợt 4 - Ngày DK</t>
  </si>
  <si>
    <t>Đợt 4 - Ngày TT</t>
  </si>
  <si>
    <t>Đợt 4 - TT</t>
  </si>
  <si>
    <t>30/02/2028</t>
  </si>
  <si>
    <t>Nguyễn Hoàng Khan</t>
  </si>
  <si>
    <t>Lê Trần Anh Quí</t>
  </si>
  <si>
    <t>Nguyễn Quang Khải</t>
  </si>
  <si>
    <t>Trịnh Hữu Thoại</t>
  </si>
  <si>
    <t>Hà Nhật Vềnh</t>
  </si>
  <si>
    <t>Nguyễn Nhất Sang</t>
  </si>
  <si>
    <t>Đoàn Phan Kinh Kha</t>
  </si>
  <si>
    <t>Nguyễn Ngọc Bảo Quỳnh</t>
  </si>
  <si>
    <t>Hoàng Hải Nam</t>
  </si>
  <si>
    <t>Lâm Thu Đang</t>
  </si>
  <si>
    <t>Trần Thị Ly</t>
  </si>
  <si>
    <t>Nguyễn Trung Kiên</t>
  </si>
  <si>
    <t>Huỳnh Thi</t>
  </si>
  <si>
    <t>Phùng Hoàng Anh</t>
  </si>
  <si>
    <t>Lê Thị Cẩm Tú</t>
  </si>
  <si>
    <t>CTO</t>
  </si>
  <si>
    <t>Data Engineer</t>
  </si>
  <si>
    <t>Frontend Dev (Leader)</t>
  </si>
  <si>
    <t>QA/Tester</t>
  </si>
  <si>
    <t>Backend Dev/LMS/Marketing</t>
  </si>
  <si>
    <t>Data Analyst</t>
  </si>
  <si>
    <t>AI Engineer (Leader)</t>
  </si>
  <si>
    <t>Chung Chí Lâm</t>
  </si>
  <si>
    <t>x</t>
  </si>
  <si>
    <t>AI CODE R&amp;D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</si>
</sst>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quot;Tỷ&quot;"/>
    <numFmt numFmtId="166" formatCode="0.0%"/>
    <numFmt numFmtId="167" formatCode="\+0.0%;\-0.0%;0.0%"/>
  </numFmts>
  <fonts count="26">
    <font>
      <sz val="11"/>
      <color theme="1"/>
      <name val="Calibri"/>
      <family val="2"/>
      <charset val="1"/>
    </font>
    <font>
      <sz val="10"/>
      <name val="Arial"/>
      <family val="2"/>
    </font>
    <font>
      <b/>
      <sz val="20"/>
      <color rgb="FF1B3A5C"/>
      <name val="Arial"/>
      <family val="2"/>
    </font>
    <font>
      <i/>
      <sz val="12"/>
      <color rgb="FF666666"/>
      <name val="Arial"/>
      <family val="2"/>
    </font>
    <font>
      <b/>
      <sz val="10"/>
      <name val="Arial"/>
      <family val="2"/>
    </font>
    <font>
      <b/>
      <sz val="12"/>
      <color rgb="FF4472C4"/>
      <name val="Arial"/>
      <family val="2"/>
    </font>
    <font>
      <b/>
      <sz val="12"/>
      <color rgb="FF1B3A5C"/>
      <name val="Arial"/>
      <family val="2"/>
    </font>
    <font>
      <b/>
      <sz val="24"/>
      <color rgb="FF1B3A5C"/>
      <name val="Arial"/>
      <family val="2"/>
    </font>
    <font>
      <b/>
      <sz val="24"/>
      <color rgb="FF00B050"/>
      <name val="Arial"/>
      <family val="2"/>
    </font>
    <font>
      <b/>
      <sz val="24"/>
      <color rgb="FFED7D31"/>
      <name val="Arial"/>
      <family val="2"/>
    </font>
    <font>
      <b/>
      <sz val="24"/>
      <color rgb="FFFF0000"/>
      <name val="Arial"/>
      <family val="2"/>
    </font>
    <font>
      <b/>
      <sz val="24"/>
      <color rgb="FF375623"/>
      <name val="Arial"/>
      <family val="2"/>
    </font>
    <font>
      <sz val="9"/>
      <color rgb="FF666666"/>
      <name val="Arial"/>
      <family val="2"/>
    </font>
    <font>
      <b/>
      <sz val="18"/>
      <color rgb="FF1B3A5C"/>
      <name val="Arial"/>
      <family val="2"/>
    </font>
    <font>
      <b/>
      <sz val="18"/>
      <color rgb="FF00B050"/>
      <name val="Arial"/>
      <family val="2"/>
    </font>
    <font>
      <b/>
      <sz val="18"/>
      <color rgb="FFED7D31"/>
      <name val="Arial"/>
      <family val="2"/>
    </font>
    <font>
      <sz val="1"/>
      <color rgb="FFFFFFFF"/>
      <name val="Arial"/>
      <family val="2"/>
    </font>
    <font>
      <b/>
      <sz val="16"/>
      <color rgb="FF1B3A5C"/>
      <name val="Arial"/>
      <family val="2"/>
    </font>
    <font>
      <b/>
      <sz val="11"/>
      <color rgb="FFFFFFFF"/>
      <name val="Arial"/>
      <family val="2"/>
    </font>
    <font>
      <sz val="10"/>
      <name val="Arial"/>
      <family val="2"/>
    </font>
    <font>
      <b/>
      <sz val="10"/>
      <color rgb="FF1B3A5C"/>
      <name val="Arial"/>
      <family val="2"/>
    </font>
    <font>
      <b/>
      <sz val="10"/>
      <color rgb="FFFFFFFF"/>
      <name val="Arial"/>
      <family val="2"/>
    </font>
    <font>
      <b/>
      <sz val="14"/>
      <name val="Arial"/>
      <family val="2"/>
    </font>
    <font>
      <i/>
      <sz val="10"/>
      <color rgb="FF999999"/>
      <name val="Arial"/>
      <family val="2"/>
    </font>
    <font>
      <b/>
      <sz val="10"/>
      <color theme="1"/>
      <name val="Arial"/>
      <family val="2"/>
    </font>
    <font>
      <sz val="10"/>
      <color theme="1"/>
      <name val="Arial"/>
      <family val="2"/>
    </font>
  </fonts>
  <fills count="12">
    <fill>
      <patternFill patternType="none"/>
    </fill>
    <fill>
      <patternFill patternType="gray125"/>
    </fill>
    <fill>
      <patternFill patternType="solid">
        <fgColor rgb="FFD6E4F0"/>
        <bgColor rgb="FFD9D9D9"/>
      </patternFill>
    </fill>
    <fill>
      <patternFill patternType="solid">
        <fgColor rgb="FFE2EFDA"/>
        <bgColor rgb="FFF2F2F2"/>
      </patternFill>
    </fill>
    <fill>
      <patternFill patternType="solid">
        <fgColor rgb="FFFFF2CC"/>
        <bgColor rgb="FFF2F2F2"/>
      </patternFill>
    </fill>
    <fill>
      <patternFill patternType="solid">
        <fgColor rgb="FFFCE4EC"/>
        <bgColor rgb="FFF2F2F2"/>
      </patternFill>
    </fill>
    <fill>
      <patternFill patternType="solid">
        <fgColor rgb="FFC6EFCE"/>
        <bgColor rgb="FFE2EFDA"/>
      </patternFill>
    </fill>
    <fill>
      <patternFill patternType="solid">
        <fgColor rgb="FF1B3A5C"/>
        <bgColor rgb="FF333399"/>
      </patternFill>
    </fill>
    <fill>
      <patternFill patternType="solid">
        <fgColor rgb="FFFFFFFF"/>
        <bgColor rgb="FFF9F9F9"/>
      </patternFill>
    </fill>
    <fill>
      <patternFill patternType="solid">
        <fgColor rgb="FFF2F2F2"/>
        <bgColor rgb="FFF9F9F9"/>
      </patternFill>
    </fill>
    <fill>
      <patternFill patternType="solid">
        <fgColor rgb="FF4472C4"/>
        <bgColor rgb="FF4F81BD"/>
      </patternFill>
    </fill>
    <fill>
      <patternFill patternType="solid">
        <fgColor rgb="FFED7D31"/>
        <bgColor rgb="FFFF808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8">
    <xf numFmtId="0" fontId="0" fillId="0" borderId="0" xfId="0"/>
    <xf numFmtId="0" fontId="17" fillId="0" borderId="0" xfId="0" applyFont="1"/>
    <xf numFmtId="165" fontId="15" fillId="4" borderId="0" xfId="0" applyNumberFormat="1" applyFont="1" applyFill="1" applyAlignment="1">
      <alignment horizontal="center" vertical="center" wrapText="1"/>
    </xf>
    <xf numFmtId="165" fontId="14" fillId="3"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12" fillId="0" borderId="0" xfId="0" applyFont="1" applyAlignment="1">
      <alignment horizontal="center" vertical="center" wrapText="1"/>
    </xf>
    <xf numFmtId="9" fontId="7" fillId="2" borderId="0" xfId="0" applyNumberFormat="1" applyFont="1" applyFill="1" applyAlignment="1">
      <alignment horizontal="center" vertical="center" wrapText="1"/>
    </xf>
    <xf numFmtId="0" fontId="11" fillId="6" borderId="0" xfId="0" applyFont="1" applyFill="1" applyAlignment="1">
      <alignment horizontal="center" vertical="center" wrapText="1"/>
    </xf>
    <xf numFmtId="0" fontId="10" fillId="5" borderId="0" xfId="0" applyFont="1" applyFill="1" applyAlignment="1">
      <alignment horizontal="center" vertical="center" wrapText="1"/>
    </xf>
    <xf numFmtId="0" fontId="9" fillId="4" borderId="0" xfId="0" applyFont="1" applyFill="1" applyAlignment="1">
      <alignment horizontal="center" vertical="center" wrapText="1"/>
    </xf>
    <xf numFmtId="0" fontId="8" fillId="3" borderId="0" xfId="0" applyFont="1" applyFill="1" applyAlignment="1">
      <alignment horizontal="center" vertical="center" wrapText="1"/>
    </xf>
    <xf numFmtId="0" fontId="7" fillId="2" borderId="0" xfId="0" applyFont="1" applyFill="1" applyAlignment="1">
      <alignment horizontal="center" vertical="center" wrapText="1"/>
    </xf>
    <xf numFmtId="0" fontId="6" fillId="2" borderId="0" xfId="0" applyFont="1" applyFill="1"/>
    <xf numFmtId="0" fontId="3" fillId="0" borderId="0" xfId="0" applyFont="1"/>
    <xf numFmtId="0" fontId="2" fillId="0" borderId="0" xfId="0" applyFont="1"/>
    <xf numFmtId="0" fontId="4" fillId="0" borderId="0" xfId="0" applyFont="1"/>
    <xf numFmtId="0" fontId="5" fillId="0" borderId="0" xfId="0" applyFont="1"/>
    <xf numFmtId="164" fontId="4" fillId="0" borderId="0" xfId="0" applyNumberFormat="1" applyFont="1"/>
    <xf numFmtId="0" fontId="16" fillId="0" borderId="0" xfId="0" applyFont="1"/>
    <xf numFmtId="0" fontId="6" fillId="0" borderId="0" xfId="0" applyFont="1"/>
    <xf numFmtId="0" fontId="18" fillId="7"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164" fontId="19" fillId="8" borderId="1" xfId="0" applyNumberFormat="1" applyFont="1" applyFill="1" applyBorder="1" applyAlignment="1">
      <alignment horizontal="left" vertical="center" wrapText="1"/>
    </xf>
    <xf numFmtId="166" fontId="19" fillId="8" borderId="1" xfId="0" applyNumberFormat="1" applyFont="1" applyFill="1" applyBorder="1" applyAlignment="1">
      <alignment horizontal="left" vertical="center" wrapText="1"/>
    </xf>
    <xf numFmtId="167" fontId="19" fillId="8" borderId="1" xfId="0" applyNumberFormat="1" applyFont="1" applyFill="1" applyBorder="1" applyAlignment="1">
      <alignment horizontal="left" vertical="center" wrapText="1"/>
    </xf>
    <xf numFmtId="3" fontId="19" fillId="8" borderId="1" xfId="0" applyNumberFormat="1" applyFont="1" applyFill="1" applyBorder="1" applyAlignment="1">
      <alignment horizontal="left" vertical="center" wrapText="1"/>
    </xf>
    <xf numFmtId="0" fontId="19" fillId="9" borderId="1" xfId="0" applyFont="1" applyFill="1" applyBorder="1" applyAlignment="1">
      <alignment horizontal="left" vertical="center" wrapText="1"/>
    </xf>
    <xf numFmtId="164" fontId="19" fillId="9" borderId="1" xfId="0" applyNumberFormat="1" applyFont="1" applyFill="1" applyBorder="1" applyAlignment="1">
      <alignment horizontal="left" vertical="center" wrapText="1"/>
    </xf>
    <xf numFmtId="166" fontId="19" fillId="9" borderId="1" xfId="0" applyNumberFormat="1" applyFont="1" applyFill="1" applyBorder="1" applyAlignment="1">
      <alignment horizontal="left" vertical="center" wrapText="1"/>
    </xf>
    <xf numFmtId="167" fontId="19" fillId="9" borderId="1" xfId="0" applyNumberFormat="1" applyFont="1" applyFill="1" applyBorder="1" applyAlignment="1">
      <alignment horizontal="left" vertical="center" wrapText="1"/>
    </xf>
    <xf numFmtId="3" fontId="19" fillId="9" borderId="1" xfId="0" applyNumberFormat="1" applyFont="1" applyFill="1" applyBorder="1" applyAlignment="1">
      <alignment horizontal="left" vertical="center" wrapText="1"/>
    </xf>
    <xf numFmtId="0" fontId="20" fillId="2" borderId="1" xfId="0" applyFont="1" applyFill="1" applyBorder="1" applyAlignment="1">
      <alignment horizontal="center" vertical="center" wrapText="1"/>
    </xf>
    <xf numFmtId="166" fontId="20" fillId="2" borderId="1" xfId="0" applyNumberFormat="1" applyFont="1" applyFill="1" applyBorder="1" applyAlignment="1">
      <alignment horizontal="center" vertical="center" wrapText="1"/>
    </xf>
    <xf numFmtId="3" fontId="20" fillId="2" borderId="1" xfId="0" applyNumberFormat="1" applyFont="1" applyFill="1" applyBorder="1" applyAlignment="1">
      <alignment horizontal="center" vertical="center" wrapText="1"/>
    </xf>
    <xf numFmtId="0" fontId="18" fillId="10" borderId="1" xfId="0" applyFont="1" applyFill="1" applyBorder="1" applyAlignment="1">
      <alignment horizontal="center" vertical="center" wrapText="1"/>
    </xf>
    <xf numFmtId="0" fontId="18" fillId="7" borderId="0" xfId="0" applyFont="1" applyFill="1"/>
    <xf numFmtId="0" fontId="21" fillId="10" borderId="0" xfId="0" applyFont="1" applyFill="1" applyAlignment="1">
      <alignment horizontal="center" vertical="center" wrapText="1"/>
    </xf>
    <xf numFmtId="0" fontId="4" fillId="8"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21" fillId="10" borderId="0" xfId="0" applyFont="1" applyFill="1"/>
    <xf numFmtId="0" fontId="22" fillId="11"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0" fillId="0" borderId="1" xfId="0" applyBorder="1"/>
    <xf numFmtId="0" fontId="6" fillId="0" borderId="0" xfId="0" applyFont="1"/>
    <xf numFmtId="0" fontId="20" fillId="2" borderId="1" xfId="0" applyFont="1" applyFill="1" applyBorder="1" applyAlignment="1">
      <alignment horizontal="center" vertical="center" wrapText="1"/>
    </xf>
    <xf numFmtId="0" fontId="6" fillId="3" borderId="0" xfId="0" applyFont="1" applyFill="1"/>
    <xf numFmtId="0" fontId="23" fillId="0" borderId="0" xfId="0" applyFont="1"/>
    <xf numFmtId="0" fontId="6" fillId="5" borderId="0" xfId="0" applyFont="1" applyFill="1"/>
    <xf numFmtId="0" fontId="6" fillId="4" borderId="0" xfId="0" applyFont="1" applyFill="1"/>
    <xf numFmtId="0" fontId="1" fillId="8"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14" fontId="19" fillId="8" borderId="1" xfId="0" applyNumberFormat="1" applyFont="1" applyFill="1" applyBorder="1" applyAlignment="1">
      <alignment horizontal="left" vertical="center" wrapText="1"/>
    </xf>
    <xf numFmtId="3" fontId="1" fillId="8" borderId="1" xfId="0" applyNumberFormat="1" applyFont="1" applyFill="1" applyBorder="1" applyAlignment="1">
      <alignment horizontal="left" vertical="center" wrapText="1"/>
    </xf>
    <xf numFmtId="3" fontId="0" fillId="0" borderId="0" xfId="0" applyNumberFormat="1"/>
    <xf numFmtId="0" fontId="24" fillId="0" borderId="0" xfId="0" applyFont="1"/>
    <xf numFmtId="0" fontId="25" fillId="0" borderId="0" xfId="0" applyFont="1"/>
  </cellXfs>
  <cellStyles count="1">
    <cellStyle name="Normal" xfId="0" builtinId="0"/>
  </cellStyles>
  <dxfs count="27">
    <dxf>
      <fill>
        <patternFill>
          <bgColor rgb="FFE2EFDA"/>
        </patternFill>
      </fill>
    </dxf>
    <dxf>
      <font>
        <b/>
        <color rgb="FFFFFFFF"/>
      </font>
      <fill>
        <patternFill>
          <bgColor rgb="FFFF0000"/>
        </patternFill>
      </fill>
    </dxf>
    <dxf>
      <fill>
        <patternFill>
          <bgColor rgb="FFFCE4EC"/>
        </patternFill>
      </fill>
    </dxf>
    <dxf>
      <fill>
        <patternFill>
          <bgColor rgb="FFE2EFDA"/>
        </patternFill>
      </fill>
    </dxf>
    <dxf>
      <font>
        <b/>
      </font>
      <fill>
        <patternFill>
          <bgColor rgb="FFFFC000"/>
        </patternFill>
      </fill>
    </dxf>
    <dxf>
      <font>
        <b/>
      </font>
      <fill>
        <patternFill>
          <bgColor rgb="FFED7D31"/>
        </patternFill>
      </fill>
    </dxf>
    <dxf>
      <font>
        <b/>
        <color rgb="FFFFFFFF"/>
      </font>
      <fill>
        <patternFill>
          <bgColor rgb="FFFF0000"/>
        </patternFill>
      </fill>
    </dxf>
    <dxf>
      <font>
        <b/>
        <color rgb="FFED7D31"/>
      </font>
      <fill>
        <patternFill>
          <bgColor rgb="FFFFF2CC"/>
        </patternFill>
      </fill>
    </dxf>
    <dxf>
      <font>
        <b/>
        <color rgb="FFFF0000"/>
      </font>
      <fill>
        <patternFill>
          <bgColor rgb="FFFCE4EC"/>
        </patternFill>
      </fill>
    </dxf>
    <dxf>
      <fill>
        <patternFill>
          <bgColor rgb="FFFFF2CC"/>
        </patternFill>
      </fill>
    </dxf>
    <dxf>
      <font>
        <b/>
        <color rgb="FF375623"/>
      </font>
      <fill>
        <patternFill>
          <bgColor rgb="FFE2EFDA"/>
        </patternFill>
      </fill>
    </dxf>
    <dxf>
      <font>
        <b/>
        <color rgb="FFFF0000"/>
      </font>
      <fill>
        <patternFill>
          <bgColor rgb="FFFCE4EC"/>
        </patternFill>
      </fill>
    </dxf>
    <dxf>
      <fill>
        <patternFill>
          <bgColor rgb="FFFFF2CC"/>
        </patternFill>
      </fill>
    </dxf>
    <dxf>
      <fill>
        <patternFill>
          <bgColor rgb="FFFCE4EC"/>
        </patternFill>
      </fill>
    </dxf>
    <dxf>
      <fill>
        <patternFill>
          <bgColor rgb="FFE2EFDA"/>
        </patternFill>
      </fill>
    </dxf>
    <dxf>
      <fill>
        <patternFill>
          <bgColor rgb="FFFFF2CC"/>
        </patternFill>
      </fill>
    </dxf>
    <dxf>
      <fill>
        <patternFill>
          <bgColor rgb="FFFCE4EC"/>
        </patternFill>
      </fill>
    </dxf>
    <dxf>
      <fill>
        <patternFill>
          <bgColor rgb="FFE2EFDA"/>
        </patternFill>
      </fill>
    </dxf>
    <dxf>
      <fill>
        <patternFill>
          <bgColor rgb="FFFFF2CC"/>
        </patternFill>
      </fill>
    </dxf>
    <dxf>
      <fill>
        <patternFill>
          <bgColor rgb="FFFCE4EC"/>
        </patternFill>
      </fill>
    </dxf>
    <dxf>
      <fill>
        <patternFill>
          <bgColor rgb="FFE2EFDA"/>
        </patternFill>
      </fill>
    </dxf>
    <dxf>
      <font>
        <b/>
        <color rgb="FF375623"/>
      </font>
      <fill>
        <patternFill>
          <bgColor rgb="FFE2EFDA"/>
        </patternFill>
      </fill>
    </dxf>
    <dxf>
      <font>
        <b/>
        <color rgb="FFFF0000"/>
      </font>
      <fill>
        <patternFill>
          <bgColor rgb="FFFCE4EC"/>
        </patternFill>
      </fill>
    </dxf>
    <dxf>
      <fill>
        <patternFill>
          <bgColor rgb="FFC6EFCE"/>
        </patternFill>
      </fill>
    </dxf>
    <dxf>
      <fill>
        <patternFill>
          <bgColor rgb="FFFCE4EC"/>
        </patternFill>
      </fill>
    </dxf>
    <dxf>
      <fill>
        <patternFill>
          <bgColor rgb="FFFFF2CC"/>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F9F9F9"/>
      <rgbColor rgb="FF808080"/>
      <rgbColor rgb="FF878787"/>
      <rgbColor rgb="FF7030A0"/>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C6EFCE"/>
      <rgbColor rgb="FFF2F2F2"/>
      <rgbColor rgb="FF99CCFF"/>
      <rgbColor rgb="FFFF99CC"/>
      <rgbColor rgb="FFCC99FF"/>
      <rgbColor rgb="FFFCE4EC"/>
      <rgbColor rgb="FF4472C4"/>
      <rgbColor rgb="FF33CCCC"/>
      <rgbColor rgb="FF99CC00"/>
      <rgbColor rgb="FFFFC000"/>
      <rgbColor rgb="FFFF9900"/>
      <rgbColor rgb="FFED7D31"/>
      <rgbColor rgb="FF666666"/>
      <rgbColor rgb="FF999999"/>
      <rgbColor rgb="FF1B3A5C"/>
      <rgbColor rgb="FF00B050"/>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Phân Bổ Trạng Thái Dự Án</a:t>
            </a:r>
          </a:p>
        </c:rich>
      </c:tx>
      <c:overlay val="0"/>
      <c:spPr>
        <a:noFill/>
        <a:ln w="0">
          <a:noFill/>
        </a:ln>
      </c:spPr>
    </c:title>
    <c:autoTitleDeleted val="0"/>
    <c:plotArea>
      <c:layout/>
      <c:pieChart>
        <c:varyColors val="1"/>
        <c:ser>
          <c:idx val="0"/>
          <c:order val="0"/>
          <c:tx>
            <c:strRef>
              <c:f>Dashboard!$B$21</c:f>
              <c:strCache>
                <c:ptCount val="1"/>
                <c:pt idx="0">
                  <c:v>Số lượng</c:v>
                </c:pt>
              </c:strCache>
            </c:strRef>
          </c:tx>
          <c:spPr>
            <a:solidFill>
              <a:srgbClr val="4F81BD"/>
            </a:solidFill>
            <a:ln w="12600">
              <a:solidFill>
                <a:srgbClr val="F9F9F9"/>
              </a:solidFill>
              <a:round/>
            </a:ln>
          </c:spPr>
          <c:dPt>
            <c:idx val="0"/>
            <c:bubble3D val="0"/>
            <c:spPr>
              <a:solidFill>
                <a:srgbClr val="00B050"/>
              </a:solidFill>
              <a:ln w="9360">
                <a:solidFill>
                  <a:srgbClr val="F9F9F9"/>
                </a:solidFill>
                <a:round/>
              </a:ln>
            </c:spPr>
            <c:extLst>
              <c:ext xmlns:c16="http://schemas.microsoft.com/office/drawing/2014/chart" uri="{C3380CC4-5D6E-409C-BE32-E72D297353CC}">
                <c16:uniqueId val="{00000001-53DD-F449-AF7F-53631D47EDA8}"/>
              </c:ext>
            </c:extLst>
          </c:dPt>
          <c:dPt>
            <c:idx val="1"/>
            <c:bubble3D val="0"/>
            <c:spPr>
              <a:solidFill>
                <a:srgbClr val="ED7D31"/>
              </a:solidFill>
              <a:ln w="9360">
                <a:solidFill>
                  <a:srgbClr val="F9F9F9"/>
                </a:solidFill>
                <a:round/>
              </a:ln>
            </c:spPr>
            <c:extLst>
              <c:ext xmlns:c16="http://schemas.microsoft.com/office/drawing/2014/chart" uri="{C3380CC4-5D6E-409C-BE32-E72D297353CC}">
                <c16:uniqueId val="{00000003-53DD-F449-AF7F-53631D47EDA8}"/>
              </c:ext>
            </c:extLst>
          </c:dPt>
          <c:dPt>
            <c:idx val="2"/>
            <c:bubble3D val="0"/>
            <c:spPr>
              <a:solidFill>
                <a:srgbClr val="FF0000"/>
              </a:solidFill>
              <a:ln w="9360">
                <a:solidFill>
                  <a:srgbClr val="F9F9F9"/>
                </a:solidFill>
                <a:round/>
              </a:ln>
            </c:spPr>
            <c:extLst>
              <c:ext xmlns:c16="http://schemas.microsoft.com/office/drawing/2014/chart" uri="{C3380CC4-5D6E-409C-BE32-E72D297353CC}">
                <c16:uniqueId val="{00000005-53DD-F449-AF7F-53631D47EDA8}"/>
              </c:ext>
            </c:extLst>
          </c:dPt>
          <c:dPt>
            <c:idx val="3"/>
            <c:bubble3D val="0"/>
            <c:spPr>
              <a:solidFill>
                <a:srgbClr val="375623"/>
              </a:solidFill>
              <a:ln w="9360">
                <a:solidFill>
                  <a:srgbClr val="F9F9F9"/>
                </a:solidFill>
                <a:round/>
              </a:ln>
            </c:spPr>
            <c:extLst>
              <c:ext xmlns:c16="http://schemas.microsoft.com/office/drawing/2014/chart" uri="{C3380CC4-5D6E-409C-BE32-E72D297353CC}">
                <c16:uniqueId val="{00000007-53DD-F449-AF7F-53631D47EDA8}"/>
              </c:ext>
            </c:extLst>
          </c:dPt>
          <c:dLbls>
            <c:dLbl>
              <c:idx val="0"/>
              <c:spPr/>
              <c:txPr>
                <a:bodyPr wrap="square"/>
                <a:lstStyle/>
                <a:p>
                  <a:pPr>
                    <a:defRPr sz="1000" b="0" u="none" strike="noStrike">
                      <a:solidFill>
                        <a:schemeClr val="bg1"/>
                      </a:solidFill>
                      <a:uFillTx/>
                      <a:latin typeface="Calibri"/>
                    </a:defRPr>
                  </a:pPr>
                  <a:endParaRPr lang="en-VN"/>
                </a:p>
              </c:txPr>
              <c:dLblPos val="bestFit"/>
              <c:showLegendKey val="1"/>
              <c:showVal val="1"/>
              <c:showCatName val="1"/>
              <c:showSerName val="1"/>
              <c:showPercent val="1"/>
              <c:showBubbleSize val="1"/>
              <c:extLst>
                <c:ext xmlns:c16="http://schemas.microsoft.com/office/drawing/2014/chart" uri="{C3380CC4-5D6E-409C-BE32-E72D297353CC}">
                  <c16:uniqueId val="{00000001-53DD-F449-AF7F-53631D47EDA8}"/>
                </c:ext>
              </c:extLst>
            </c:dLbl>
            <c:dLbl>
              <c:idx val="1"/>
              <c:spPr/>
              <c:txPr>
                <a:bodyPr wrap="square"/>
                <a:lstStyle/>
                <a:p>
                  <a:pPr>
                    <a:defRPr sz="1000" b="0" u="none" strike="noStrike">
                      <a:solidFill>
                        <a:schemeClr val="bg1"/>
                      </a:solidFill>
                      <a:uFillTx/>
                      <a:latin typeface="Calibri"/>
                    </a:defRPr>
                  </a:pPr>
                  <a:endParaRPr lang="en-VN"/>
                </a:p>
              </c:txPr>
              <c:dLblPos val="bestFit"/>
              <c:showLegendKey val="1"/>
              <c:showVal val="1"/>
              <c:showCatName val="1"/>
              <c:showSerName val="1"/>
              <c:showPercent val="1"/>
              <c:showBubbleSize val="1"/>
              <c:extLst>
                <c:ext xmlns:c16="http://schemas.microsoft.com/office/drawing/2014/chart" uri="{C3380CC4-5D6E-409C-BE32-E72D297353CC}">
                  <c16:uniqueId val="{00000003-53DD-F449-AF7F-53631D47EDA8}"/>
                </c:ext>
              </c:extLst>
            </c:dLbl>
            <c:dLbl>
              <c:idx val="2"/>
              <c:spPr/>
              <c:txPr>
                <a:bodyPr wrap="square"/>
                <a:lstStyle/>
                <a:p>
                  <a:pPr>
                    <a:defRPr sz="1000" b="0" u="none" strike="noStrike">
                      <a:solidFill>
                        <a:schemeClr val="bg1"/>
                      </a:solidFill>
                      <a:uFillTx/>
                      <a:latin typeface="Calibri"/>
                    </a:defRPr>
                  </a:pPr>
                  <a:endParaRPr lang="en-VN"/>
                </a:p>
              </c:txPr>
              <c:dLblPos val="bestFit"/>
              <c:showLegendKey val="1"/>
              <c:showVal val="1"/>
              <c:showCatName val="1"/>
              <c:showSerName val="1"/>
              <c:showPercent val="1"/>
              <c:showBubbleSize val="1"/>
              <c:extLst>
                <c:ext xmlns:c16="http://schemas.microsoft.com/office/drawing/2014/chart" uri="{C3380CC4-5D6E-409C-BE32-E72D297353CC}">
                  <c16:uniqueId val="{00000005-53DD-F449-AF7F-53631D47EDA8}"/>
                </c:ext>
              </c:extLst>
            </c:dLbl>
            <c:dLbl>
              <c:idx val="3"/>
              <c:spPr/>
              <c:txPr>
                <a:bodyPr wrap="square"/>
                <a:lstStyle/>
                <a:p>
                  <a:pPr>
                    <a:defRPr sz="1000" b="0" u="none" strike="noStrike">
                      <a:solidFill>
                        <a:schemeClr val="bg1"/>
                      </a:solidFill>
                      <a:uFillTx/>
                      <a:latin typeface="Calibri"/>
                    </a:defRPr>
                  </a:pPr>
                  <a:endParaRPr lang="en-VN"/>
                </a:p>
              </c:txPr>
              <c:dLblPos val="bestFit"/>
              <c:showLegendKey val="1"/>
              <c:showVal val="1"/>
              <c:showCatName val="1"/>
              <c:showSerName val="1"/>
              <c:showPercent val="1"/>
              <c:showBubbleSize val="1"/>
              <c:extLst>
                <c:ext xmlns:c16="http://schemas.microsoft.com/office/drawing/2014/chart" uri="{C3380CC4-5D6E-409C-BE32-E72D297353CC}">
                  <c16:uniqueId val="{00000007-53DD-F449-AF7F-53631D47EDA8}"/>
                </c:ext>
              </c:extLst>
            </c:dLbl>
            <c:spPr>
              <a:noFill/>
              <a:ln>
                <a:noFill/>
              </a:ln>
              <a:effectLst/>
            </c:spPr>
            <c:txPr>
              <a:bodyPr wrap="square"/>
              <a:lstStyle/>
              <a:p>
                <a:pPr>
                  <a:defRPr sz="1000" b="0" u="none" strike="noStrike">
                    <a:solidFill>
                      <a:schemeClr val="bg1"/>
                    </a:solidFill>
                    <a:uFillTx/>
                    <a:latin typeface="Calibri"/>
                  </a:defRPr>
                </a:pPr>
                <a:endParaRPr lang="en-VN"/>
              </a:p>
            </c:txPr>
            <c:dLblPos val="bestFit"/>
            <c:showLegendKey val="1"/>
            <c:showVal val="1"/>
            <c:showCatName val="1"/>
            <c:showSerName val="1"/>
            <c:showPercent val="1"/>
            <c:showBubbleSize val="1"/>
            <c:separator>; </c:separator>
            <c:showLeaderLines val="1"/>
            <c:leaderLines>
              <c:spPr>
                <a:ln w="0">
                  <a:solidFill>
                    <a:srgbClr val="F9F9F9"/>
                  </a:solidFill>
                </a:ln>
              </c:spPr>
            </c:leaderLines>
            <c:extLst>
              <c:ext xmlns:c15="http://schemas.microsoft.com/office/drawing/2012/chart" uri="{CE6537A1-D6FC-4f65-9D91-7224C49458BB}"/>
            </c:extLst>
          </c:dLbls>
          <c:cat>
            <c:strRef>
              <c:f>Dashboard!$A$22:$A$25</c:f>
              <c:strCache>
                <c:ptCount val="4"/>
                <c:pt idx="0">
                  <c:v>On Track</c:v>
                </c:pt>
                <c:pt idx="1">
                  <c:v>At Risk</c:v>
                </c:pt>
                <c:pt idx="2">
                  <c:v>Delayed</c:v>
                </c:pt>
                <c:pt idx="3">
                  <c:v>Completed</c:v>
                </c:pt>
              </c:strCache>
            </c:strRef>
          </c:cat>
          <c:val>
            <c:numRef>
              <c:f>Dashboard!$B$22:$B$25</c:f>
              <c:numCache>
                <c:formatCode>General</c:formatCode>
                <c:ptCount val="4"/>
                <c:pt idx="0">
                  <c:v>3</c:v>
                </c:pt>
                <c:pt idx="1">
                  <c:v>0</c:v>
                </c:pt>
                <c:pt idx="2">
                  <c:v>2</c:v>
                </c:pt>
                <c:pt idx="3">
                  <c:v>0</c:v>
                </c:pt>
              </c:numCache>
            </c:numRef>
          </c:val>
          <c:extLst>
            <c:ext xmlns:c16="http://schemas.microsoft.com/office/drawing/2014/chart" uri="{C3380CC4-5D6E-409C-BE32-E72D297353CC}">
              <c16:uniqueId val="{00000008-53DD-F449-AF7F-53631D47EDA8}"/>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Tiến Độ: Kế Hoạch vs Thực Tế</a:t>
            </a:r>
          </a:p>
        </c:rich>
      </c:tx>
      <c:overlay val="0"/>
      <c:spPr>
        <a:noFill/>
        <a:ln w="0">
          <a:noFill/>
        </a:ln>
      </c:spPr>
    </c:title>
    <c:autoTitleDeleted val="0"/>
    <c:plotArea>
      <c:layout/>
      <c:barChart>
        <c:barDir val="col"/>
        <c:grouping val="clustered"/>
        <c:varyColors val="0"/>
        <c:ser>
          <c:idx val="0"/>
          <c:order val="0"/>
          <c:tx>
            <c:strRef>
              <c:f>'Danh Sách Dự Án'!$J$4</c:f>
              <c:strCache>
                <c:ptCount val="1"/>
                <c:pt idx="0">
                  <c:v>% HT Kế Hoạch</c:v>
                </c:pt>
              </c:strCache>
            </c:strRef>
          </c:tx>
          <c:spPr>
            <a:solidFill>
              <a:srgbClr val="D6E4F0"/>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'Danh Sách Dự Án'!$C$5:$C$10</c:f>
              <c:strCache>
                <c:ptCount val="6"/>
                <c:pt idx="0">
                  <c:v>SmartShop - Sàn giao dịch TMDT</c:v>
                </c:pt>
                <c:pt idx="1">
                  <c:v>Novagroup - Nền tảng eSales &amp; eMarketing</c:v>
                </c:pt>
                <c:pt idx="2">
                  <c:v>DuLichViet</c:v>
                </c:pt>
                <c:pt idx="3">
                  <c:v>VietNamFoodMap - VCCA</c:v>
                </c:pt>
                <c:pt idx="4">
                  <c:v>TPX - Sàn TMDT công nghệ</c:v>
                </c:pt>
                <c:pt idx="5">
                  <c:v>AI Code - R&amp;D</c:v>
                </c:pt>
              </c:strCache>
            </c:strRef>
          </c:cat>
          <c:val>
            <c:numRef>
              <c:f>'Danh Sách Dự Án'!$J$5:$J$10</c:f>
              <c:numCache>
                <c:formatCode>0.0%</c:formatCode>
                <c:ptCount val="6"/>
                <c:pt idx="0">
                  <c:v>0.5803571428571429</c:v>
                </c:pt>
                <c:pt idx="1">
                  <c:v>4.9586776859504134E-2</c:v>
                </c:pt>
                <c:pt idx="2">
                  <c:v>5.6517893737731088E-3</c:v>
                </c:pt>
                <c:pt idx="3">
                  <c:v>0.58640226628895187</c:v>
                </c:pt>
                <c:pt idx="4">
                  <c:v>0</c:v>
                </c:pt>
                <c:pt idx="5">
                  <c:v>0.32044198895027626</c:v>
                </c:pt>
              </c:numCache>
            </c:numRef>
          </c:val>
          <c:extLst>
            <c:ext xmlns:c16="http://schemas.microsoft.com/office/drawing/2014/chart" uri="{C3380CC4-5D6E-409C-BE32-E72D297353CC}">
              <c16:uniqueId val="{00000000-8DBF-BC46-B4AC-85B7BE2E6BA3}"/>
            </c:ext>
          </c:extLst>
        </c:ser>
        <c:ser>
          <c:idx val="1"/>
          <c:order val="1"/>
          <c:tx>
            <c:strRef>
              <c:f>'Danh Sách Dự Án'!$K$4</c:f>
              <c:strCache>
                <c:ptCount val="1"/>
                <c:pt idx="0">
                  <c:v>% HT Thực Tế</c:v>
                </c:pt>
              </c:strCache>
            </c:strRef>
          </c:tx>
          <c:spPr>
            <a:solidFill>
              <a:srgbClr val="4472C4"/>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'Danh Sách Dự Án'!$C$5:$C$10</c:f>
              <c:strCache>
                <c:ptCount val="6"/>
                <c:pt idx="0">
                  <c:v>SmartShop - Sàn giao dịch TMDT</c:v>
                </c:pt>
                <c:pt idx="1">
                  <c:v>Novagroup - Nền tảng eSales &amp; eMarketing</c:v>
                </c:pt>
                <c:pt idx="2">
                  <c:v>DuLichViet</c:v>
                </c:pt>
                <c:pt idx="3">
                  <c:v>VietNamFoodMap - VCCA</c:v>
                </c:pt>
                <c:pt idx="4">
                  <c:v>TPX - Sàn TMDT công nghệ</c:v>
                </c:pt>
                <c:pt idx="5">
                  <c:v>AI Code - R&amp;D</c:v>
                </c:pt>
              </c:strCache>
            </c:strRef>
          </c:cat>
          <c:val>
            <c:numRef>
              <c:f>'Danh Sách Dự Án'!$K$5:$K$10</c:f>
              <c:numCache>
                <c:formatCode>0.0%</c:formatCode>
                <c:ptCount val="6"/>
                <c:pt idx="0">
                  <c:v>0.4</c:v>
                </c:pt>
                <c:pt idx="1">
                  <c:v>0.1</c:v>
                </c:pt>
                <c:pt idx="2">
                  <c:v>0.1</c:v>
                </c:pt>
                <c:pt idx="3">
                  <c:v>0.6</c:v>
                </c:pt>
                <c:pt idx="4">
                  <c:v>0.6</c:v>
                </c:pt>
                <c:pt idx="5">
                  <c:v>0.35</c:v>
                </c:pt>
              </c:numCache>
            </c:numRef>
          </c:val>
          <c:extLst>
            <c:ext xmlns:c16="http://schemas.microsoft.com/office/drawing/2014/chart" uri="{C3380CC4-5D6E-409C-BE32-E72D297353CC}">
              <c16:uniqueId val="{00000001-8DBF-BC46-B4AC-85B7BE2E6BA3}"/>
            </c:ext>
          </c:extLst>
        </c:ser>
        <c:dLbls>
          <c:showLegendKey val="0"/>
          <c:showVal val="0"/>
          <c:showCatName val="0"/>
          <c:showSerName val="0"/>
          <c:showPercent val="0"/>
          <c:showBubbleSize val="0"/>
        </c:dLbls>
        <c:gapWidth val="150"/>
        <c:axId val="80034971"/>
        <c:axId val="6621441"/>
      </c:barChart>
      <c:catAx>
        <c:axId val="800349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6621441"/>
        <c:crosses val="autoZero"/>
        <c:auto val="1"/>
        <c:lblAlgn val="ctr"/>
        <c:lblOffset val="100"/>
        <c:noMultiLvlLbl val="0"/>
      </c:catAx>
      <c:valAx>
        <c:axId val="6621441"/>
        <c:scaling>
          <c:orientation val="minMax"/>
          <c:max val="1"/>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 Hoàn Thành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8003497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Doanh Thu Hợp Đồng: Đã Thu vs Còn Phải Thu</a:t>
            </a:r>
          </a:p>
        </c:rich>
      </c:tx>
      <c:overlay val="0"/>
      <c:spPr>
        <a:noFill/>
        <a:ln w="0">
          <a:noFill/>
        </a:ln>
      </c:spPr>
    </c:title>
    <c:autoTitleDeleted val="0"/>
    <c:plotArea>
      <c:layout/>
      <c:barChart>
        <c:barDir val="col"/>
        <c:grouping val="stacked"/>
        <c:varyColors val="0"/>
        <c:ser>
          <c:idx val="0"/>
          <c:order val="0"/>
          <c:tx>
            <c:strRef>
              <c:f>'Danh Sách Dự Án'!$N$4</c:f>
              <c:strCache>
                <c:ptCount val="1"/>
                <c:pt idx="0">
                  <c:v>Đã Thanh Toán (VNĐ)</c:v>
                </c:pt>
              </c:strCache>
            </c:strRef>
          </c:tx>
          <c:spPr>
            <a:solidFill>
              <a:srgbClr val="00B050"/>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'Danh Sách Dự Án'!$C$5:$C$10</c:f>
              <c:strCache>
                <c:ptCount val="6"/>
                <c:pt idx="0">
                  <c:v>SmartShop - Sàn giao dịch TMDT</c:v>
                </c:pt>
                <c:pt idx="1">
                  <c:v>Novagroup - Nền tảng eSales &amp; eMarketing</c:v>
                </c:pt>
                <c:pt idx="2">
                  <c:v>DuLichViet</c:v>
                </c:pt>
                <c:pt idx="3">
                  <c:v>VietNamFoodMap - VCCA</c:v>
                </c:pt>
                <c:pt idx="4">
                  <c:v>TPX - Sàn TMDT công nghệ</c:v>
                </c:pt>
                <c:pt idx="5">
                  <c:v>AI Code - R&amp;D</c:v>
                </c:pt>
              </c:strCache>
            </c:strRef>
          </c:cat>
          <c:val>
            <c:numRef>
              <c:f>'Danh Sách Dự Án'!$N$5:$N$10</c:f>
              <c:numCache>
                <c:formatCode>#,##0</c:formatCode>
                <c:ptCount val="6"/>
                <c:pt idx="0">
                  <c:v>94500000</c:v>
                </c:pt>
                <c:pt idx="2">
                  <c:v>0</c:v>
                </c:pt>
                <c:pt idx="3">
                  <c:v>250000000</c:v>
                </c:pt>
              </c:numCache>
            </c:numRef>
          </c:val>
          <c:extLst>
            <c:ext xmlns:c16="http://schemas.microsoft.com/office/drawing/2014/chart" uri="{C3380CC4-5D6E-409C-BE32-E72D297353CC}">
              <c16:uniqueId val="{00000000-D03F-9546-9840-F215427E10E2}"/>
            </c:ext>
          </c:extLst>
        </c:ser>
        <c:ser>
          <c:idx val="1"/>
          <c:order val="1"/>
          <c:tx>
            <c:strRef>
              <c:f>'Danh Sách Dự Án'!$O$4</c:f>
              <c:strCache>
                <c:ptCount val="1"/>
                <c:pt idx="0">
                  <c:v>Còn Lại (VNĐ)</c:v>
                </c:pt>
              </c:strCache>
            </c:strRef>
          </c:tx>
          <c:spPr>
            <a:solidFill>
              <a:srgbClr val="ED7D31"/>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'Danh Sách Dự Án'!$C$5:$C$10</c:f>
              <c:strCache>
                <c:ptCount val="6"/>
                <c:pt idx="0">
                  <c:v>SmartShop - Sàn giao dịch TMDT</c:v>
                </c:pt>
                <c:pt idx="1">
                  <c:v>Novagroup - Nền tảng eSales &amp; eMarketing</c:v>
                </c:pt>
                <c:pt idx="2">
                  <c:v>DuLichViet</c:v>
                </c:pt>
                <c:pt idx="3">
                  <c:v>VietNamFoodMap - VCCA</c:v>
                </c:pt>
                <c:pt idx="4">
                  <c:v>TPX - Sàn TMDT công nghệ</c:v>
                </c:pt>
                <c:pt idx="5">
                  <c:v>AI Code - R&amp;D</c:v>
                </c:pt>
              </c:strCache>
            </c:strRef>
          </c:cat>
          <c:val>
            <c:numRef>
              <c:f>'Danh Sách Dự Án'!$O$5:$O$10</c:f>
              <c:numCache>
                <c:formatCode>#,##0</c:formatCode>
                <c:ptCount val="6"/>
                <c:pt idx="0">
                  <c:v>220500000</c:v>
                </c:pt>
                <c:pt idx="1">
                  <c:v>7812500000</c:v>
                </c:pt>
                <c:pt idx="2">
                  <c:v>866000000</c:v>
                </c:pt>
                <c:pt idx="3">
                  <c:v>2050000000</c:v>
                </c:pt>
                <c:pt idx="4">
                  <c:v>0</c:v>
                </c:pt>
                <c:pt idx="5">
                  <c:v>0</c:v>
                </c:pt>
              </c:numCache>
            </c:numRef>
          </c:val>
          <c:extLst>
            <c:ext xmlns:c16="http://schemas.microsoft.com/office/drawing/2014/chart" uri="{C3380CC4-5D6E-409C-BE32-E72D297353CC}">
              <c16:uniqueId val="{00000001-D03F-9546-9840-F215427E10E2}"/>
            </c:ext>
          </c:extLst>
        </c:ser>
        <c:dLbls>
          <c:showLegendKey val="0"/>
          <c:showVal val="0"/>
          <c:showCatName val="0"/>
          <c:showSerName val="0"/>
          <c:showPercent val="0"/>
          <c:showBubbleSize val="0"/>
        </c:dLbls>
        <c:gapWidth val="150"/>
        <c:overlap val="100"/>
        <c:axId val="40119124"/>
        <c:axId val="39453972"/>
      </c:barChart>
      <c:catAx>
        <c:axId val="401191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39453972"/>
        <c:crosses val="autoZero"/>
        <c:auto val="1"/>
        <c:lblAlgn val="ctr"/>
        <c:lblOffset val="100"/>
        <c:noMultiLvlLbl val="0"/>
      </c:catAx>
      <c:valAx>
        <c:axId val="3945397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VNĐ</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4011912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Utilization Rate Nhân Sự</a:t>
            </a:r>
          </a:p>
        </c:rich>
      </c:tx>
      <c:overlay val="0"/>
      <c:spPr>
        <a:noFill/>
        <a:ln w="0">
          <a:noFill/>
        </a:ln>
      </c:spPr>
    </c:title>
    <c:autoTitleDeleted val="0"/>
    <c:plotArea>
      <c:layout/>
      <c:barChart>
        <c:barDir val="col"/>
        <c:grouping val="clustered"/>
        <c:varyColors val="0"/>
        <c:ser>
          <c:idx val="0"/>
          <c:order val="0"/>
          <c:tx>
            <c:strRef>
              <c:f>'Nhân Sự Dự Án'!$H$3</c:f>
              <c:strCache>
                <c:ptCount val="1"/>
                <c:pt idx="0">
                  <c:v>Utilization Rate</c:v>
                </c:pt>
              </c:strCache>
            </c:strRef>
          </c:tx>
          <c:spPr>
            <a:solidFill>
              <a:srgbClr val="4472C4"/>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'Nhân Sự Dự Án'!$B$4:$B$21</c:f>
              <c:strCache>
                <c:ptCount val="18"/>
                <c:pt idx="0">
                  <c:v>Thái Hoàng Mai Học</c:v>
                </c:pt>
                <c:pt idx="1">
                  <c:v>Nguyễn Hoàng Khan</c:v>
                </c:pt>
                <c:pt idx="2">
                  <c:v>Lê Trần Anh Quí</c:v>
                </c:pt>
                <c:pt idx="3">
                  <c:v>Chung Chí Lâm</c:v>
                </c:pt>
                <c:pt idx="4">
                  <c:v>Nguyễn Quang Khải</c:v>
                </c:pt>
                <c:pt idx="5">
                  <c:v>Trịnh Hữu Thoại</c:v>
                </c:pt>
                <c:pt idx="6">
                  <c:v>Hà Nhật Vềnh</c:v>
                </c:pt>
                <c:pt idx="7">
                  <c:v>Nguyễn Nhất Sang</c:v>
                </c:pt>
                <c:pt idx="8">
                  <c:v>Đinh Lê Trung Hiếu</c:v>
                </c:pt>
                <c:pt idx="9">
                  <c:v>Nguyễn Diên Sỹ Đạo</c:v>
                </c:pt>
                <c:pt idx="10">
                  <c:v>Đoàn Phan Kinh Kha</c:v>
                </c:pt>
                <c:pt idx="11">
                  <c:v>Nguyễn Ngọc Bảo Quỳnh</c:v>
                </c:pt>
                <c:pt idx="12">
                  <c:v>Hoàng Hải Nam</c:v>
                </c:pt>
                <c:pt idx="13">
                  <c:v>Lâm Thu Đang</c:v>
                </c:pt>
                <c:pt idx="14">
                  <c:v>Trần Thị Ly</c:v>
                </c:pt>
                <c:pt idx="15">
                  <c:v>Nguyễn Trung Kiên</c:v>
                </c:pt>
                <c:pt idx="16">
                  <c:v>Huỳnh Thi</c:v>
                </c:pt>
                <c:pt idx="17">
                  <c:v>Phùng Hoàng Anh</c:v>
                </c:pt>
              </c:strCache>
            </c:strRef>
          </c:cat>
          <c:val>
            <c:numRef>
              <c:f>'Nhân Sự Dự Án'!$H$4:$H$21</c:f>
              <c:numCache>
                <c:formatCode>0.0%</c:formatCode>
                <c:ptCount val="18"/>
                <c:pt idx="0">
                  <c:v>1.05</c:v>
                </c:pt>
                <c:pt idx="1">
                  <c:v>0</c:v>
                </c:pt>
                <c:pt idx="2">
                  <c:v>0.95</c:v>
                </c:pt>
                <c:pt idx="3">
                  <c:v>1.2</c:v>
                </c:pt>
                <c:pt idx="4">
                  <c:v>1</c:v>
                </c:pt>
                <c:pt idx="5">
                  <c:v>0.9</c:v>
                </c:pt>
                <c:pt idx="6">
                  <c:v>0.95</c:v>
                </c:pt>
                <c:pt idx="7">
                  <c:v>1.1000000000000001</c:v>
                </c:pt>
                <c:pt idx="8">
                  <c:v>1.1666666666666667</c:v>
                </c:pt>
                <c:pt idx="17">
                  <c:v>1.09375</c:v>
                </c:pt>
              </c:numCache>
            </c:numRef>
          </c:val>
          <c:extLst>
            <c:ext xmlns:c16="http://schemas.microsoft.com/office/drawing/2014/chart" uri="{C3380CC4-5D6E-409C-BE32-E72D297353CC}">
              <c16:uniqueId val="{00000000-FED8-A243-92DB-3F022D82F2B2}"/>
            </c:ext>
          </c:extLst>
        </c:ser>
        <c:dLbls>
          <c:showLegendKey val="0"/>
          <c:showVal val="0"/>
          <c:showCatName val="0"/>
          <c:showSerName val="0"/>
          <c:showPercent val="0"/>
          <c:showBubbleSize val="0"/>
        </c:dLbls>
        <c:gapWidth val="150"/>
        <c:axId val="85475775"/>
        <c:axId val="69352012"/>
      </c:barChart>
      <c:catAx>
        <c:axId val="854757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69352012"/>
        <c:crosses val="autoZero"/>
        <c:auto val="1"/>
        <c:lblAlgn val="ctr"/>
        <c:lblOffset val="100"/>
        <c:noMultiLvlLbl val="0"/>
      </c:catAx>
      <c:valAx>
        <c:axId val="69352012"/>
        <c:scaling>
          <c:orientation val="minMax"/>
          <c:max val="1.5"/>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Rate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8547577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Tiến Độ Thanh Toán Theo Dự Án</a:t>
            </a:r>
          </a:p>
        </c:rich>
      </c:tx>
      <c:overlay val="0"/>
      <c:spPr>
        <a:noFill/>
        <a:ln w="0">
          <a:noFill/>
        </a:ln>
      </c:spPr>
    </c:title>
    <c:autoTitleDeleted val="0"/>
    <c:plotArea>
      <c:layout/>
      <c:barChart>
        <c:barDir val="bar"/>
        <c:grouping val="stacked"/>
        <c:varyColors val="0"/>
        <c:ser>
          <c:idx val="0"/>
          <c:order val="0"/>
          <c:tx>
            <c:strRef>
              <c:f>'Tiến Độ Hợp Đồng'!$V$3</c:f>
              <c:strCache>
                <c:ptCount val="1"/>
                <c:pt idx="0">
                  <c:v>Tổng Đã Thu (VNĐ)</c:v>
                </c:pt>
              </c:strCache>
            </c:strRef>
          </c:tx>
          <c:spPr>
            <a:solidFill>
              <a:srgbClr val="00B050"/>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'Tiến Độ Hợp Đồng'!$C$4:$C$8</c:f>
              <c:strCache>
                <c:ptCount val="5"/>
                <c:pt idx="0">
                  <c:v>SmartShop - Sàn giao dịch TMDT</c:v>
                </c:pt>
                <c:pt idx="1">
                  <c:v>Novagroup - Nền tảng eSales &amp; eMarketing</c:v>
                </c:pt>
                <c:pt idx="2">
                  <c:v>DuLichViet</c:v>
                </c:pt>
                <c:pt idx="3">
                  <c:v>VietNamFoodMap - VCCA</c:v>
                </c:pt>
                <c:pt idx="4">
                  <c:v>TPX - Sàn TMDT công nghệ</c:v>
                </c:pt>
              </c:strCache>
            </c:strRef>
          </c:cat>
          <c:val>
            <c:numRef>
              <c:f>'Tiến Độ Hợp Đồng'!$V$4:$V$8</c:f>
              <c:numCache>
                <c:formatCode>#,##0</c:formatCode>
                <c:ptCount val="5"/>
                <c:pt idx="0">
                  <c:v>94500000</c:v>
                </c:pt>
                <c:pt idx="1">
                  <c:v>0</c:v>
                </c:pt>
                <c:pt idx="2">
                  <c:v>0</c:v>
                </c:pt>
                <c:pt idx="3">
                  <c:v>250000000</c:v>
                </c:pt>
                <c:pt idx="4">
                  <c:v>0</c:v>
                </c:pt>
              </c:numCache>
            </c:numRef>
          </c:val>
          <c:extLst>
            <c:ext xmlns:c16="http://schemas.microsoft.com/office/drawing/2014/chart" uri="{C3380CC4-5D6E-409C-BE32-E72D297353CC}">
              <c16:uniqueId val="{00000000-EA14-0C40-AA6E-AB5DDCE75D6E}"/>
            </c:ext>
          </c:extLst>
        </c:ser>
        <c:ser>
          <c:idx val="1"/>
          <c:order val="1"/>
          <c:tx>
            <c:strRef>
              <c:f>'Tiến Độ Hợp Đồng'!$W$3</c:f>
              <c:strCache>
                <c:ptCount val="1"/>
                <c:pt idx="0">
                  <c:v>Tổng Còn Thu (VNĐ)</c:v>
                </c:pt>
              </c:strCache>
            </c:strRef>
          </c:tx>
          <c:spPr>
            <a:solidFill>
              <a:srgbClr val="ED7D31"/>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'Tiến Độ Hợp Đồng'!$C$4:$C$8</c:f>
              <c:strCache>
                <c:ptCount val="5"/>
                <c:pt idx="0">
                  <c:v>SmartShop - Sàn giao dịch TMDT</c:v>
                </c:pt>
                <c:pt idx="1">
                  <c:v>Novagroup - Nền tảng eSales &amp; eMarketing</c:v>
                </c:pt>
                <c:pt idx="2">
                  <c:v>DuLichViet</c:v>
                </c:pt>
                <c:pt idx="3">
                  <c:v>VietNamFoodMap - VCCA</c:v>
                </c:pt>
                <c:pt idx="4">
                  <c:v>TPX - Sàn TMDT công nghệ</c:v>
                </c:pt>
              </c:strCache>
            </c:strRef>
          </c:cat>
          <c:val>
            <c:numRef>
              <c:f>'Tiến Độ Hợp Đồng'!$W$4:$W$8</c:f>
              <c:numCache>
                <c:formatCode>#,##0</c:formatCode>
                <c:ptCount val="5"/>
                <c:pt idx="0">
                  <c:v>220500000</c:v>
                </c:pt>
                <c:pt idx="1">
                  <c:v>7812500000</c:v>
                </c:pt>
                <c:pt idx="2">
                  <c:v>866000000</c:v>
                </c:pt>
                <c:pt idx="3">
                  <c:v>2050000000</c:v>
                </c:pt>
                <c:pt idx="4">
                  <c:v>0</c:v>
                </c:pt>
              </c:numCache>
            </c:numRef>
          </c:val>
          <c:extLst>
            <c:ext xmlns:c16="http://schemas.microsoft.com/office/drawing/2014/chart" uri="{C3380CC4-5D6E-409C-BE32-E72D297353CC}">
              <c16:uniqueId val="{00000001-EA14-0C40-AA6E-AB5DDCE75D6E}"/>
            </c:ext>
          </c:extLst>
        </c:ser>
        <c:dLbls>
          <c:showLegendKey val="0"/>
          <c:showVal val="0"/>
          <c:showCatName val="0"/>
          <c:showSerName val="0"/>
          <c:showPercent val="0"/>
          <c:showBubbleSize val="0"/>
        </c:dLbls>
        <c:gapWidth val="150"/>
        <c:overlap val="100"/>
        <c:axId val="6770712"/>
        <c:axId val="72528524"/>
      </c:barChart>
      <c:catAx>
        <c:axId val="677071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72528524"/>
        <c:crosses val="autoZero"/>
        <c:auto val="1"/>
        <c:lblAlgn val="ctr"/>
        <c:lblOffset val="100"/>
        <c:noMultiLvlLbl val="0"/>
      </c:catAx>
      <c:valAx>
        <c:axId val="72528524"/>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lang="en-US" sz="1000" b="1" u="none" strike="noStrike">
                    <a:solidFill>
                      <a:srgbClr val="000000"/>
                    </a:solidFill>
                    <a:uFillTx/>
                    <a:latin typeface="Calibri"/>
                  </a:rPr>
                  <a:t>VNĐ</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677071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Utilization Rate Theo Nhân Sự</a:t>
            </a:r>
          </a:p>
        </c:rich>
      </c:tx>
      <c:overlay val="0"/>
      <c:spPr>
        <a:noFill/>
        <a:ln w="0">
          <a:noFill/>
        </a:ln>
      </c:spPr>
    </c:title>
    <c:autoTitleDeleted val="0"/>
    <c:plotArea>
      <c:layout/>
      <c:barChart>
        <c:barDir val="col"/>
        <c:grouping val="clustered"/>
        <c:varyColors val="0"/>
        <c:ser>
          <c:idx val="0"/>
          <c:order val="0"/>
          <c:tx>
            <c:strRef>
              <c:f>'Nhân Sự Dự Án'!$H$3</c:f>
              <c:strCache>
                <c:ptCount val="1"/>
                <c:pt idx="0">
                  <c:v>Utilization Rate</c:v>
                </c:pt>
              </c:strCache>
            </c:strRef>
          </c:tx>
          <c:spPr>
            <a:solidFill>
              <a:srgbClr val="4472C4"/>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V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'Nhân Sự Dự Án'!$B$4:$B$21</c:f>
              <c:strCache>
                <c:ptCount val="18"/>
                <c:pt idx="0">
                  <c:v>Thái Hoàng Mai Học</c:v>
                </c:pt>
                <c:pt idx="1">
                  <c:v>Nguyễn Hoàng Khan</c:v>
                </c:pt>
                <c:pt idx="2">
                  <c:v>Lê Trần Anh Quí</c:v>
                </c:pt>
                <c:pt idx="3">
                  <c:v>Chung Chí Lâm</c:v>
                </c:pt>
                <c:pt idx="4">
                  <c:v>Nguyễn Quang Khải</c:v>
                </c:pt>
                <c:pt idx="5">
                  <c:v>Trịnh Hữu Thoại</c:v>
                </c:pt>
                <c:pt idx="6">
                  <c:v>Hà Nhật Vềnh</c:v>
                </c:pt>
                <c:pt idx="7">
                  <c:v>Nguyễn Nhất Sang</c:v>
                </c:pt>
                <c:pt idx="8">
                  <c:v>Đinh Lê Trung Hiếu</c:v>
                </c:pt>
                <c:pt idx="9">
                  <c:v>Nguyễn Diên Sỹ Đạo</c:v>
                </c:pt>
                <c:pt idx="10">
                  <c:v>Đoàn Phan Kinh Kha</c:v>
                </c:pt>
                <c:pt idx="11">
                  <c:v>Nguyễn Ngọc Bảo Quỳnh</c:v>
                </c:pt>
                <c:pt idx="12">
                  <c:v>Hoàng Hải Nam</c:v>
                </c:pt>
                <c:pt idx="13">
                  <c:v>Lâm Thu Đang</c:v>
                </c:pt>
                <c:pt idx="14">
                  <c:v>Trần Thị Ly</c:v>
                </c:pt>
                <c:pt idx="15">
                  <c:v>Nguyễn Trung Kiên</c:v>
                </c:pt>
                <c:pt idx="16">
                  <c:v>Huỳnh Thi</c:v>
                </c:pt>
                <c:pt idx="17">
                  <c:v>Phùng Hoàng Anh</c:v>
                </c:pt>
              </c:strCache>
            </c:strRef>
          </c:cat>
          <c:val>
            <c:numRef>
              <c:f>'Nhân Sự Dự Án'!$H$4:$H$21</c:f>
              <c:numCache>
                <c:formatCode>0.0%</c:formatCode>
                <c:ptCount val="18"/>
                <c:pt idx="0">
                  <c:v>1.05</c:v>
                </c:pt>
                <c:pt idx="1">
                  <c:v>0</c:v>
                </c:pt>
                <c:pt idx="2">
                  <c:v>0.95</c:v>
                </c:pt>
                <c:pt idx="3">
                  <c:v>1.2</c:v>
                </c:pt>
                <c:pt idx="4">
                  <c:v>1</c:v>
                </c:pt>
                <c:pt idx="5">
                  <c:v>0.9</c:v>
                </c:pt>
                <c:pt idx="6">
                  <c:v>0.95</c:v>
                </c:pt>
                <c:pt idx="7">
                  <c:v>1.1000000000000001</c:v>
                </c:pt>
                <c:pt idx="8">
                  <c:v>1.1666666666666667</c:v>
                </c:pt>
                <c:pt idx="17">
                  <c:v>1.09375</c:v>
                </c:pt>
              </c:numCache>
            </c:numRef>
          </c:val>
          <c:extLst>
            <c:ext xmlns:c16="http://schemas.microsoft.com/office/drawing/2014/chart" uri="{C3380CC4-5D6E-409C-BE32-E72D297353CC}">
              <c16:uniqueId val="{00000000-93AD-FA4A-950D-AC5D4DF8ADE2}"/>
            </c:ext>
          </c:extLst>
        </c:ser>
        <c:dLbls>
          <c:showLegendKey val="0"/>
          <c:showVal val="0"/>
          <c:showCatName val="0"/>
          <c:showSerName val="0"/>
          <c:showPercent val="0"/>
          <c:showBubbleSize val="0"/>
        </c:dLbls>
        <c:gapWidth val="150"/>
        <c:axId val="65007237"/>
        <c:axId val="39916174"/>
      </c:barChart>
      <c:catAx>
        <c:axId val="650072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39916174"/>
        <c:crosses val="autoZero"/>
        <c:auto val="1"/>
        <c:lblAlgn val="ctr"/>
        <c:lblOffset val="100"/>
        <c:noMultiLvlLbl val="0"/>
      </c:catAx>
      <c:valAx>
        <c:axId val="39916174"/>
        <c:scaling>
          <c:orientation val="minMax"/>
          <c:max val="1.5"/>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Utilization Rate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VN"/>
          </a:p>
        </c:txPr>
        <c:crossAx val="6500723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972766</xdr:colOff>
      <xdr:row>33</xdr:row>
      <xdr:rowOff>162128</xdr:rowOff>
    </xdr:from>
    <xdr:to>
      <xdr:col>5</xdr:col>
      <xdr:colOff>1011053</xdr:colOff>
      <xdr:row>56</xdr:row>
      <xdr:rowOff>101858</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756597</xdr:colOff>
      <xdr:row>33</xdr:row>
      <xdr:rowOff>13511</xdr:rowOff>
    </xdr:from>
    <xdr:to>
      <xdr:col>18</xdr:col>
      <xdr:colOff>299353</xdr:colOff>
      <xdr:row>55</xdr:row>
      <xdr:rowOff>142390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56</xdr:row>
      <xdr:rowOff>148617</xdr:rowOff>
    </xdr:from>
    <xdr:to>
      <xdr:col>7</xdr:col>
      <xdr:colOff>224407</xdr:colOff>
      <xdr:row>79</xdr:row>
      <xdr:rowOff>87988</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729575</xdr:colOff>
      <xdr:row>56</xdr:row>
      <xdr:rowOff>27021</xdr:rowOff>
    </xdr:from>
    <xdr:to>
      <xdr:col>18</xdr:col>
      <xdr:colOff>272331</xdr:colOff>
      <xdr:row>78</xdr:row>
      <xdr:rowOff>155541</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63500</xdr:rowOff>
    </xdr:from>
    <xdr:to>
      <xdr:col>8</xdr:col>
      <xdr:colOff>118440</xdr:colOff>
      <xdr:row>42</xdr:row>
      <xdr:rowOff>150260</xdr:rowOff>
    </xdr:to>
    <xdr:graphicFrame macro="">
      <xdr:nvGraphicFramePr>
        <xdr:cNvPr id="5" name="Chart 1">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508000</xdr:colOff>
      <xdr:row>2</xdr:row>
      <xdr:rowOff>0</xdr:rowOff>
    </xdr:from>
    <xdr:to>
      <xdr:col>25</xdr:col>
      <xdr:colOff>310360</xdr:colOff>
      <xdr:row>31</xdr:row>
      <xdr:rowOff>82980</xdr:rowOff>
    </xdr:to>
    <xdr:graphicFrame macro="">
      <xdr:nvGraphicFramePr>
        <xdr:cNvPr id="6" name="Chart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L25"/>
  <sheetViews>
    <sheetView zoomScale="94" zoomScaleNormal="90" workbookViewId="0">
      <selection activeCell="A17" sqref="A17:C18"/>
    </sheetView>
  </sheetViews>
  <sheetFormatPr baseColWidth="10" defaultColWidth="8.6640625" defaultRowHeight="15"/>
  <cols>
    <col min="1" max="1" width="14" customWidth="1"/>
    <col min="2" max="2" width="14.83203125" customWidth="1"/>
    <col min="3" max="12" width="14" customWidth="1"/>
  </cols>
  <sheetData>
    <row r="1" spans="1:12" ht="25">
      <c r="A1" s="14" t="s">
        <v>0</v>
      </c>
      <c r="B1" s="14"/>
      <c r="C1" s="14"/>
      <c r="D1" s="14"/>
      <c r="E1" s="14"/>
      <c r="F1" s="14"/>
      <c r="G1" s="14"/>
      <c r="H1" s="14"/>
      <c r="I1" s="14"/>
      <c r="J1" s="14"/>
      <c r="K1" s="14"/>
      <c r="L1" s="14"/>
    </row>
    <row r="2" spans="1:12" ht="16">
      <c r="A2" s="13" t="s">
        <v>1</v>
      </c>
      <c r="B2" s="13"/>
      <c r="C2" s="13"/>
      <c r="D2" s="13"/>
      <c r="E2" s="13"/>
      <c r="F2" s="13"/>
      <c r="G2" s="13"/>
      <c r="H2" s="13"/>
      <c r="I2" s="13"/>
      <c r="J2" s="13"/>
      <c r="K2" s="13"/>
      <c r="L2" s="13"/>
    </row>
    <row r="3" spans="1:12" ht="16">
      <c r="A3" s="15" t="s">
        <v>2</v>
      </c>
      <c r="B3" s="16" t="s">
        <v>3</v>
      </c>
      <c r="C3" s="15" t="s">
        <v>4</v>
      </c>
      <c r="D3" s="17">
        <f ca="1">TODAY()</f>
        <v>46095</v>
      </c>
    </row>
    <row r="4" spans="1:12" ht="16">
      <c r="B4" s="16">
        <v>2026</v>
      </c>
    </row>
    <row r="6" spans="1:12" ht="16">
      <c r="A6" s="12" t="s">
        <v>5</v>
      </c>
      <c r="B6" s="12"/>
      <c r="C6" s="12"/>
      <c r="D6" s="12"/>
      <c r="E6" s="12"/>
      <c r="F6" s="12"/>
      <c r="G6" s="12"/>
      <c r="H6" s="12"/>
      <c r="I6" s="12"/>
      <c r="J6" s="12"/>
      <c r="K6" s="12"/>
      <c r="L6" s="12"/>
    </row>
    <row r="7" spans="1:12">
      <c r="A7" s="11">
        <f>COUNTA('Danh Sách Dự Án'!B5:B10)</f>
        <v>6</v>
      </c>
      <c r="B7" s="11"/>
      <c r="C7" s="10">
        <f>COUNTIF('Danh Sách Dự Án'!I5:I10,"On Track")</f>
        <v>3</v>
      </c>
      <c r="D7" s="10"/>
      <c r="E7" s="9">
        <f>COUNTIF('Danh Sách Dự Án'!I5:I10,"At Risk")</f>
        <v>0</v>
      </c>
      <c r="F7" s="9"/>
      <c r="G7" s="8">
        <f>COUNTIF('Danh Sách Dự Án'!I5:I10,"Delayed")</f>
        <v>2</v>
      </c>
      <c r="H7" s="8"/>
      <c r="I7" s="7">
        <f>COUNTIF('Danh Sách Dự Án'!I5:I10,"Completed")</f>
        <v>0</v>
      </c>
      <c r="J7" s="7"/>
      <c r="K7" s="6">
        <f>'Danh Sách Dự Án'!K11</f>
        <v>0.35833333333333334</v>
      </c>
      <c r="L7" s="6"/>
    </row>
    <row r="8" spans="1:12">
      <c r="A8" s="11"/>
      <c r="B8" s="11"/>
      <c r="C8" s="10"/>
      <c r="D8" s="10"/>
      <c r="E8" s="9"/>
      <c r="F8" s="9"/>
      <c r="G8" s="8"/>
      <c r="H8" s="8"/>
      <c r="I8" s="7"/>
      <c r="J8" s="7"/>
      <c r="K8" s="6"/>
      <c r="L8" s="6"/>
    </row>
    <row r="9" spans="1:12" ht="15" customHeight="1">
      <c r="A9" s="5" t="s">
        <v>6</v>
      </c>
      <c r="B9" s="5"/>
      <c r="C9" s="5" t="s">
        <v>7</v>
      </c>
      <c r="D9" s="5"/>
      <c r="E9" s="5" t="s">
        <v>8</v>
      </c>
      <c r="F9" s="5"/>
      <c r="G9" s="5" t="s">
        <v>9</v>
      </c>
      <c r="H9" s="5"/>
      <c r="I9" s="5" t="s">
        <v>10</v>
      </c>
      <c r="J9" s="5"/>
      <c r="K9" s="5" t="s">
        <v>11</v>
      </c>
      <c r="L9" s="5"/>
    </row>
    <row r="11" spans="1:12" ht="16">
      <c r="A11" s="12" t="s">
        <v>12</v>
      </c>
      <c r="B11" s="12"/>
      <c r="C11" s="12"/>
      <c r="D11" s="12"/>
      <c r="E11" s="12"/>
      <c r="F11" s="12"/>
      <c r="G11" s="12"/>
      <c r="H11" s="12"/>
      <c r="I11" s="12"/>
      <c r="J11" s="12"/>
      <c r="K11" s="12"/>
      <c r="L11" s="12"/>
    </row>
    <row r="12" spans="1:12">
      <c r="A12" s="4">
        <f>'Danh Sách Dự Án'!M11</f>
        <v>11293500000</v>
      </c>
      <c r="B12" s="4"/>
      <c r="C12" s="4"/>
      <c r="D12" s="3">
        <f>'Danh Sách Dự Án'!N11</f>
        <v>344500000</v>
      </c>
      <c r="E12" s="3"/>
      <c r="F12" s="3"/>
      <c r="G12" s="2">
        <f>'Danh Sách Dự Án'!O11</f>
        <v>10949000000</v>
      </c>
      <c r="H12" s="2"/>
      <c r="I12" s="2"/>
      <c r="J12" s="6">
        <f>'Danh Sách Dự Án'!P11</f>
        <v>3.0504272369061849E-2</v>
      </c>
      <c r="K12" s="6"/>
      <c r="L12" s="6"/>
    </row>
    <row r="13" spans="1:12">
      <c r="A13" s="4"/>
      <c r="B13" s="4"/>
      <c r="C13" s="4"/>
      <c r="D13" s="3"/>
      <c r="E13" s="3"/>
      <c r="F13" s="3"/>
      <c r="G13" s="2"/>
      <c r="H13" s="2"/>
      <c r="I13" s="2"/>
      <c r="J13" s="6"/>
      <c r="K13" s="6"/>
      <c r="L13" s="6"/>
    </row>
    <row r="14" spans="1:12" ht="15" customHeight="1">
      <c r="A14" s="5" t="s">
        <v>13</v>
      </c>
      <c r="B14" s="5"/>
      <c r="C14" s="5"/>
      <c r="D14" s="5" t="s">
        <v>14</v>
      </c>
      <c r="E14" s="5"/>
      <c r="F14" s="5"/>
      <c r="G14" s="5" t="s">
        <v>15</v>
      </c>
      <c r="H14" s="5"/>
      <c r="I14" s="5"/>
      <c r="J14" s="5" t="s">
        <v>16</v>
      </c>
      <c r="K14" s="5"/>
      <c r="L14" s="5"/>
    </row>
    <row r="16" spans="1:12" ht="16">
      <c r="A16" s="12" t="s">
        <v>17</v>
      </c>
      <c r="B16" s="12"/>
      <c r="C16" s="12"/>
      <c r="D16" s="12"/>
      <c r="E16" s="12"/>
      <c r="F16" s="12"/>
      <c r="G16" s="12"/>
      <c r="H16" s="12"/>
      <c r="I16" s="12"/>
      <c r="J16" s="12"/>
      <c r="K16" s="12"/>
      <c r="L16" s="12"/>
    </row>
    <row r="17" spans="1:12">
      <c r="A17" s="11">
        <f>'Rủi Ro &amp; Vấn Đề'!B14</f>
        <v>8</v>
      </c>
      <c r="B17" s="11"/>
      <c r="C17" s="11"/>
      <c r="D17" s="8">
        <f>'Rủi Ro &amp; Vấn Đề'!B15</f>
        <v>2</v>
      </c>
      <c r="E17" s="8"/>
      <c r="F17" s="8"/>
      <c r="G17" s="11">
        <f>'Danh Sách Dự Án'!Q11</f>
        <v>55</v>
      </c>
      <c r="H17" s="11"/>
      <c r="I17" s="11"/>
      <c r="J17" s="6">
        <f>'Nhân Sự Dự Án'!H25</f>
        <v>0.94104166666666667</v>
      </c>
      <c r="K17" s="6"/>
      <c r="L17" s="6"/>
    </row>
    <row r="18" spans="1:12">
      <c r="A18" s="11"/>
      <c r="B18" s="11"/>
      <c r="C18" s="11"/>
      <c r="D18" s="8"/>
      <c r="E18" s="8"/>
      <c r="F18" s="8"/>
      <c r="G18" s="11"/>
      <c r="H18" s="11"/>
      <c r="I18" s="11"/>
      <c r="J18" s="6"/>
      <c r="K18" s="6"/>
      <c r="L18" s="6"/>
    </row>
    <row r="19" spans="1:12" ht="15" customHeight="1">
      <c r="A19" s="5" t="s">
        <v>18</v>
      </c>
      <c r="B19" s="5"/>
      <c r="C19" s="5"/>
      <c r="D19" s="5" t="s">
        <v>19</v>
      </c>
      <c r="E19" s="5"/>
      <c r="F19" s="5"/>
      <c r="G19" s="5" t="s">
        <v>20</v>
      </c>
      <c r="H19" s="5"/>
      <c r="I19" s="5"/>
      <c r="J19" s="5" t="s">
        <v>21</v>
      </c>
      <c r="K19" s="5"/>
      <c r="L19" s="5"/>
    </row>
    <row r="21" spans="1:12">
      <c r="A21" s="18" t="s">
        <v>22</v>
      </c>
      <c r="B21" s="18" t="s">
        <v>23</v>
      </c>
    </row>
    <row r="22" spans="1:12">
      <c r="A22" s="18" t="s">
        <v>7</v>
      </c>
      <c r="B22" s="18">
        <f>COUNTIF('Danh Sách Dự Án'!I5:I10,"On Track")</f>
        <v>3</v>
      </c>
    </row>
    <row r="23" spans="1:12">
      <c r="A23" s="18" t="s">
        <v>8</v>
      </c>
      <c r="B23" s="18">
        <f>COUNTIF('Danh Sách Dự Án'!I5:I10,"At Risk")</f>
        <v>0</v>
      </c>
    </row>
    <row r="24" spans="1:12">
      <c r="A24" s="18" t="s">
        <v>9</v>
      </c>
      <c r="B24" s="18">
        <f>COUNTIF('Danh Sách Dự Án'!I5:I10,"Delayed")</f>
        <v>2</v>
      </c>
    </row>
    <row r="25" spans="1:12">
      <c r="A25" s="18" t="s">
        <v>10</v>
      </c>
      <c r="B25" s="18">
        <f>COUNTIF('Danh Sách Dự Án'!I5:I10,"Completed")</f>
        <v>0</v>
      </c>
    </row>
  </sheetData>
  <mergeCells count="33">
    <mergeCell ref="A17:C18"/>
    <mergeCell ref="D17:F18"/>
    <mergeCell ref="G17:I18"/>
    <mergeCell ref="J17:L18"/>
    <mergeCell ref="A19:C19"/>
    <mergeCell ref="D19:F19"/>
    <mergeCell ref="G19:I19"/>
    <mergeCell ref="J19:L19"/>
    <mergeCell ref="A14:C14"/>
    <mergeCell ref="D14:F14"/>
    <mergeCell ref="G14:I14"/>
    <mergeCell ref="J14:L14"/>
    <mergeCell ref="A16:L16"/>
    <mergeCell ref="K9:L9"/>
    <mergeCell ref="A11:L11"/>
    <mergeCell ref="A12:C13"/>
    <mergeCell ref="D12:F13"/>
    <mergeCell ref="G12:I13"/>
    <mergeCell ref="J12:L13"/>
    <mergeCell ref="A9:B9"/>
    <mergeCell ref="C9:D9"/>
    <mergeCell ref="E9:F9"/>
    <mergeCell ref="G9:H9"/>
    <mergeCell ref="I9:J9"/>
    <mergeCell ref="A1:L1"/>
    <mergeCell ref="A2:L2"/>
    <mergeCell ref="A6:L6"/>
    <mergeCell ref="A7:B8"/>
    <mergeCell ref="C7:D8"/>
    <mergeCell ref="E7:F8"/>
    <mergeCell ref="G7:H8"/>
    <mergeCell ref="I7:J8"/>
    <mergeCell ref="K7:L8"/>
  </mergeCell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2">
        <x14:dataValidation type="list" xr:uid="{00000000-0002-0000-0000-000000000000}">
          <x14:formula1>
            <xm:f>Config!$A$4:$A$15</xm:f>
          </x14:formula1>
          <x14:formula2>
            <xm:f>0</xm:f>
          </x14:formula2>
          <xm:sqref>B3</xm:sqref>
        </x14:dataValidation>
        <x14:dataValidation type="list" xr:uid="{00000000-0002-0000-0000-000001000000}">
          <x14:formula1>
            <xm:f>Config!$B$4:$B$10</xm:f>
          </x14:formula1>
          <x14:formula2>
            <xm:f>0</xm:f>
          </x14:formula2>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S11"/>
  <sheetViews>
    <sheetView zoomScale="125" zoomScaleNormal="85" workbookViewId="0">
      <pane ySplit="4" topLeftCell="A5" activePane="bottomLeft" state="frozen"/>
      <selection pane="bottomLeft" activeCell="C10" sqref="C10"/>
    </sheetView>
  </sheetViews>
  <sheetFormatPr baseColWidth="10" defaultColWidth="8.6640625" defaultRowHeight="15"/>
  <cols>
    <col min="1" max="1" width="5" customWidth="1"/>
    <col min="2" max="2" width="14" customWidth="1"/>
    <col min="3" max="3" width="28" customWidth="1"/>
    <col min="4" max="4" width="28.33203125" customWidth="1"/>
    <col min="5" max="5" width="18" customWidth="1"/>
    <col min="6" max="8" width="13" customWidth="1"/>
    <col min="9" max="9" width="12" customWidth="1"/>
    <col min="10" max="10" width="16.6640625" customWidth="1"/>
    <col min="11" max="11" width="13" customWidth="1"/>
    <col min="12" max="12" width="12" customWidth="1"/>
    <col min="13" max="15" width="18" customWidth="1"/>
    <col min="16" max="16" width="13" customWidth="1"/>
    <col min="17" max="17" width="10" customWidth="1"/>
    <col min="18" max="18" width="12" customWidth="1"/>
    <col min="19" max="19" width="38.1640625" customWidth="1"/>
  </cols>
  <sheetData>
    <row r="1" spans="1:19" ht="20">
      <c r="A1" s="1" t="s">
        <v>24</v>
      </c>
      <c r="B1" s="1"/>
      <c r="C1" s="1"/>
      <c r="D1" s="1"/>
      <c r="E1" s="1"/>
      <c r="F1" s="1"/>
      <c r="G1" s="1"/>
      <c r="H1" s="1"/>
      <c r="I1" s="1"/>
      <c r="J1" s="1"/>
      <c r="K1" s="1"/>
      <c r="L1" s="1"/>
      <c r="M1" s="1"/>
      <c r="N1" s="1"/>
      <c r="O1" s="1"/>
      <c r="P1" s="1"/>
    </row>
    <row r="2" spans="1:19" ht="16">
      <c r="A2" s="45" t="str">
        <f>IF(Dashboard!B3&lt;&gt;"",Dashboard!B3&amp;" - "&amp;Dashboard!B4,"")</f>
        <v>Tháng 3 - 2026</v>
      </c>
      <c r="B2" s="45"/>
      <c r="C2" s="45"/>
      <c r="D2" s="45"/>
      <c r="E2" s="45"/>
      <c r="F2" s="45"/>
      <c r="G2" s="45"/>
      <c r="H2" s="45"/>
      <c r="I2" s="45"/>
      <c r="J2" s="45"/>
      <c r="K2" s="45"/>
      <c r="L2" s="45"/>
      <c r="M2" s="45"/>
      <c r="N2" s="45"/>
      <c r="O2" s="45"/>
      <c r="P2" s="45"/>
    </row>
    <row r="4" spans="1:19" ht="30">
      <c r="A4" s="20" t="s">
        <v>25</v>
      </c>
      <c r="B4" s="20" t="s">
        <v>26</v>
      </c>
      <c r="C4" s="20" t="s">
        <v>27</v>
      </c>
      <c r="D4" s="20" t="s">
        <v>28</v>
      </c>
      <c r="E4" s="20" t="s">
        <v>29</v>
      </c>
      <c r="F4" s="20" t="s">
        <v>30</v>
      </c>
      <c r="G4" s="20" t="s">
        <v>31</v>
      </c>
      <c r="H4" s="20" t="s">
        <v>32</v>
      </c>
      <c r="I4" s="20" t="s">
        <v>22</v>
      </c>
      <c r="J4" s="20" t="s">
        <v>33</v>
      </c>
      <c r="K4" s="20" t="s">
        <v>34</v>
      </c>
      <c r="L4" s="20" t="s">
        <v>35</v>
      </c>
      <c r="M4" s="20" t="s">
        <v>36</v>
      </c>
      <c r="N4" s="20" t="s">
        <v>37</v>
      </c>
      <c r="O4" s="20" t="s">
        <v>38</v>
      </c>
      <c r="P4" s="20" t="s">
        <v>39</v>
      </c>
      <c r="Q4" s="20" t="s">
        <v>40</v>
      </c>
      <c r="R4" s="20" t="s">
        <v>41</v>
      </c>
      <c r="S4" s="20" t="s">
        <v>42</v>
      </c>
    </row>
    <row r="5" spans="1:19" ht="70">
      <c r="A5" s="21">
        <v>1</v>
      </c>
      <c r="B5" s="51" t="s">
        <v>43</v>
      </c>
      <c r="C5" s="51" t="s">
        <v>234</v>
      </c>
      <c r="D5" s="51" t="s">
        <v>235</v>
      </c>
      <c r="E5" s="51" t="s">
        <v>236</v>
      </c>
      <c r="F5" s="22">
        <v>46030</v>
      </c>
      <c r="G5" s="22">
        <v>46142</v>
      </c>
      <c r="H5" s="22"/>
      <c r="I5" s="51" t="s">
        <v>7</v>
      </c>
      <c r="J5" s="23">
        <f t="shared" ref="J5:J10" ca="1" si="0">IF(I5="Completed",1,MIN(1,MAX(0,(TODAY()-F5)/(G5-F5))))</f>
        <v>0.5803571428571429</v>
      </c>
      <c r="K5" s="23">
        <v>0.4</v>
      </c>
      <c r="L5" s="24">
        <f t="shared" ref="L5:L10" ca="1" si="1">K5-J5</f>
        <v>-0.18035714285714288</v>
      </c>
      <c r="M5" s="25">
        <v>315000000</v>
      </c>
      <c r="N5" s="25">
        <v>94500000</v>
      </c>
      <c r="O5" s="25">
        <f t="shared" ref="O5:O10" si="2">M5-N5</f>
        <v>220500000</v>
      </c>
      <c r="P5" s="23">
        <f t="shared" ref="P5:P11" si="3">IF(M5=0,0,N5/M5)</f>
        <v>0.3</v>
      </c>
      <c r="Q5" s="21">
        <v>10</v>
      </c>
      <c r="R5" s="51" t="s">
        <v>46</v>
      </c>
      <c r="S5" s="51" t="s">
        <v>247</v>
      </c>
    </row>
    <row r="6" spans="1:19" ht="70">
      <c r="A6" s="26">
        <v>2</v>
      </c>
      <c r="B6" s="26" t="s">
        <v>47</v>
      </c>
      <c r="C6" s="52" t="s">
        <v>237</v>
      </c>
      <c r="D6" s="26" t="s">
        <v>49</v>
      </c>
      <c r="E6" s="51" t="s">
        <v>236</v>
      </c>
      <c r="F6" s="27">
        <v>46083</v>
      </c>
      <c r="G6" s="27">
        <v>46325</v>
      </c>
      <c r="H6" s="27"/>
      <c r="I6" s="26" t="s">
        <v>7</v>
      </c>
      <c r="J6" s="28">
        <f t="shared" ca="1" si="0"/>
        <v>4.9586776859504134E-2</v>
      </c>
      <c r="K6" s="28">
        <v>0.1</v>
      </c>
      <c r="L6" s="29">
        <f t="shared" ca="1" si="1"/>
        <v>5.0413223140495872E-2</v>
      </c>
      <c r="M6" s="30">
        <v>7812500000</v>
      </c>
      <c r="N6" s="30"/>
      <c r="O6" s="30">
        <f t="shared" si="2"/>
        <v>7812500000</v>
      </c>
      <c r="P6" s="28">
        <f t="shared" si="3"/>
        <v>0</v>
      </c>
      <c r="Q6" s="26">
        <v>20</v>
      </c>
      <c r="R6" s="26" t="s">
        <v>19</v>
      </c>
      <c r="S6" s="52" t="s">
        <v>253</v>
      </c>
    </row>
    <row r="7" spans="1:19" ht="28">
      <c r="A7" s="21">
        <v>3</v>
      </c>
      <c r="B7" s="21" t="s">
        <v>51</v>
      </c>
      <c r="C7" s="51" t="s">
        <v>238</v>
      </c>
      <c r="D7" s="51" t="s">
        <v>241</v>
      </c>
      <c r="E7" s="51" t="s">
        <v>236</v>
      </c>
      <c r="F7" s="22">
        <v>46357</v>
      </c>
      <c r="G7" s="22"/>
      <c r="H7" s="22"/>
      <c r="I7" s="21" t="s">
        <v>9</v>
      </c>
      <c r="J7" s="23">
        <f t="shared" ca="1" si="0"/>
        <v>5.6517893737731088E-3</v>
      </c>
      <c r="K7" s="23">
        <v>0.1</v>
      </c>
      <c r="L7" s="24">
        <f t="shared" ca="1" si="1"/>
        <v>9.4348210626226892E-2</v>
      </c>
      <c r="M7" s="25">
        <v>866000000</v>
      </c>
      <c r="N7" s="25">
        <v>0</v>
      </c>
      <c r="O7" s="25">
        <f t="shared" si="2"/>
        <v>866000000</v>
      </c>
      <c r="P7" s="23">
        <f t="shared" si="3"/>
        <v>0</v>
      </c>
      <c r="Q7" s="21">
        <v>10</v>
      </c>
      <c r="R7" s="21" t="s">
        <v>54</v>
      </c>
      <c r="S7" s="51" t="s">
        <v>248</v>
      </c>
    </row>
    <row r="8" spans="1:19" ht="70">
      <c r="A8" s="26">
        <v>4</v>
      </c>
      <c r="B8" s="26" t="s">
        <v>55</v>
      </c>
      <c r="C8" s="52" t="s">
        <v>239</v>
      </c>
      <c r="D8" s="52" t="s">
        <v>252</v>
      </c>
      <c r="E8" s="51" t="s">
        <v>236</v>
      </c>
      <c r="F8" s="22">
        <v>45681</v>
      </c>
      <c r="G8" s="22">
        <v>46387</v>
      </c>
      <c r="H8" s="27">
        <v>46101</v>
      </c>
      <c r="I8" s="26" t="s">
        <v>9</v>
      </c>
      <c r="J8" s="28">
        <f t="shared" ca="1" si="0"/>
        <v>0.58640226628895187</v>
      </c>
      <c r="K8" s="28">
        <v>0.6</v>
      </c>
      <c r="L8" s="29">
        <f t="shared" ca="1" si="1"/>
        <v>1.359773371104811E-2</v>
      </c>
      <c r="M8" s="25">
        <v>2300000000</v>
      </c>
      <c r="N8" s="25">
        <v>250000000</v>
      </c>
      <c r="O8" s="30">
        <f t="shared" si="2"/>
        <v>2050000000</v>
      </c>
      <c r="P8" s="28">
        <f t="shared" si="3"/>
        <v>0.10869565217391304</v>
      </c>
      <c r="Q8" s="26">
        <v>3</v>
      </c>
      <c r="R8" s="26" t="s">
        <v>54</v>
      </c>
      <c r="S8" s="51" t="s">
        <v>249</v>
      </c>
    </row>
    <row r="9" spans="1:19" ht="28">
      <c r="A9" s="21">
        <v>5</v>
      </c>
      <c r="B9" s="21" t="s">
        <v>56</v>
      </c>
      <c r="C9" s="51" t="s">
        <v>245</v>
      </c>
      <c r="D9" s="51" t="s">
        <v>244</v>
      </c>
      <c r="E9" s="51" t="s">
        <v>246</v>
      </c>
      <c r="F9" s="22">
        <v>46063</v>
      </c>
      <c r="G9" s="22"/>
      <c r="H9" s="22"/>
      <c r="I9" s="21" t="s">
        <v>222</v>
      </c>
      <c r="J9" s="23">
        <f t="shared" ca="1" si="0"/>
        <v>0</v>
      </c>
      <c r="K9" s="23">
        <v>0.6</v>
      </c>
      <c r="L9" s="24">
        <f t="shared" ca="1" si="1"/>
        <v>0.6</v>
      </c>
      <c r="M9" s="25"/>
      <c r="N9" s="25"/>
      <c r="O9" s="25">
        <f t="shared" si="2"/>
        <v>0</v>
      </c>
      <c r="P9" s="23">
        <f t="shared" si="3"/>
        <v>0</v>
      </c>
      <c r="Q9" s="21">
        <v>7</v>
      </c>
      <c r="R9" s="21" t="s">
        <v>54</v>
      </c>
      <c r="S9" s="51" t="s">
        <v>251</v>
      </c>
    </row>
    <row r="10" spans="1:19" ht="56">
      <c r="A10" s="26">
        <v>6</v>
      </c>
      <c r="B10" s="26" t="s">
        <v>59</v>
      </c>
      <c r="C10" s="52" t="s">
        <v>240</v>
      </c>
      <c r="D10" s="52" t="s">
        <v>243</v>
      </c>
      <c r="E10" s="52" t="s">
        <v>242</v>
      </c>
      <c r="F10" s="27">
        <v>46037</v>
      </c>
      <c r="G10" s="27">
        <v>46218</v>
      </c>
      <c r="H10" s="27"/>
      <c r="I10" s="26" t="s">
        <v>7</v>
      </c>
      <c r="J10" s="28">
        <f t="shared" ca="1" si="0"/>
        <v>0.32044198895027626</v>
      </c>
      <c r="K10" s="28">
        <v>0.35</v>
      </c>
      <c r="L10" s="29">
        <f t="shared" ca="1" si="1"/>
        <v>2.955801104972372E-2</v>
      </c>
      <c r="M10" s="30"/>
      <c r="N10" s="30"/>
      <c r="O10" s="30">
        <f t="shared" si="2"/>
        <v>0</v>
      </c>
      <c r="P10" s="28">
        <f t="shared" si="3"/>
        <v>0</v>
      </c>
      <c r="Q10" s="26">
        <v>5</v>
      </c>
      <c r="R10" s="26" t="s">
        <v>46</v>
      </c>
      <c r="S10" s="52" t="s">
        <v>250</v>
      </c>
    </row>
    <row r="11" spans="1:19" ht="15" customHeight="1">
      <c r="A11" s="46" t="s">
        <v>65</v>
      </c>
      <c r="B11" s="46"/>
      <c r="C11" s="46"/>
      <c r="D11" s="46"/>
      <c r="E11" s="31"/>
      <c r="F11" s="31"/>
      <c r="G11" s="31"/>
      <c r="H11" s="31"/>
      <c r="I11" s="31"/>
      <c r="J11" s="32">
        <f ca="1">AVERAGE(J5:J10)</f>
        <v>0.25707332738827471</v>
      </c>
      <c r="K11" s="32">
        <f>AVERAGE(K5:K10)</f>
        <v>0.35833333333333334</v>
      </c>
      <c r="L11" s="31"/>
      <c r="M11" s="33">
        <f>SUM(M5:M10)</f>
        <v>11293500000</v>
      </c>
      <c r="N11" s="33">
        <f>SUM(N5:N10)</f>
        <v>344500000</v>
      </c>
      <c r="O11" s="33">
        <f>SUM(O5:O10)</f>
        <v>10949000000</v>
      </c>
      <c r="P11" s="32">
        <f t="shared" si="3"/>
        <v>3.0504272369061849E-2</v>
      </c>
      <c r="Q11" s="31">
        <f>SUM(Q5:Q10)</f>
        <v>55</v>
      </c>
      <c r="R11" s="31"/>
      <c r="S11" s="31"/>
    </row>
  </sheetData>
  <mergeCells count="3">
    <mergeCell ref="A1:P1"/>
    <mergeCell ref="A2:P2"/>
    <mergeCell ref="A11:D11"/>
  </mergeCells>
  <conditionalFormatting sqref="I5:I10">
    <cfRule type="cellIs" dxfId="26" priority="2" operator="equal">
      <formula>"On Track"</formula>
    </cfRule>
    <cfRule type="cellIs" dxfId="25" priority="3" operator="equal">
      <formula>"At Risk"</formula>
    </cfRule>
    <cfRule type="cellIs" dxfId="24" priority="4" operator="equal">
      <formula>"Delayed"</formula>
    </cfRule>
    <cfRule type="cellIs" dxfId="23" priority="5" operator="equal">
      <formula>"Completed"</formula>
    </cfRule>
  </conditionalFormatting>
  <conditionalFormatting sqref="L5:L10">
    <cfRule type="cellIs" dxfId="22" priority="6" operator="lessThan">
      <formula>0</formula>
    </cfRule>
    <cfRule type="cellIs" dxfId="21" priority="7" operator="greaterThanOrEqual">
      <formula>0</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errorTitle="Giá trị không hợp lệ" error="Chọn trạng thái từ danh sách" xr:uid="{00000000-0002-0000-0100-000000000000}">
          <x14:formula1>
            <xm:f>Config!$C$4:$C$8</xm:f>
          </x14:formula1>
          <x14:formula2>
            <xm:f>0</xm:f>
          </x14:formula2>
          <xm:sqref>I5:I10</xm:sqref>
        </x14:dataValidation>
        <x14:dataValidation type="list" allowBlank="1" xr:uid="{00000000-0002-0000-0100-000001000000}">
          <x14:formula1>
            <xm:f>Config!$D$4:$D$7</xm:f>
          </x14:formula1>
          <x14:formula2>
            <xm:f>0</xm:f>
          </x14:formula2>
          <xm:sqref>R5:R10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X14"/>
  <sheetViews>
    <sheetView zoomScale="133" zoomScaleNormal="100" workbookViewId="0">
      <pane ySplit="3" topLeftCell="A4" activePane="bottomLeft" state="frozen"/>
      <selection pane="bottomLeft" activeCell="O8" sqref="O8"/>
    </sheetView>
  </sheetViews>
  <sheetFormatPr baseColWidth="10" defaultColWidth="8.6640625" defaultRowHeight="15"/>
  <cols>
    <col min="1" max="1" width="5" customWidth="1"/>
    <col min="2" max="2" width="14" customWidth="1"/>
    <col min="3" max="3" width="28" customWidth="1"/>
    <col min="4" max="4" width="20" customWidth="1"/>
    <col min="5" max="5" width="18" customWidth="1"/>
    <col min="6" max="6" width="15" customWidth="1"/>
    <col min="7" max="8" width="13" customWidth="1"/>
    <col min="9" max="9" width="14" customWidth="1"/>
    <col min="10" max="10" width="15" customWidth="1"/>
    <col min="11" max="12" width="13" customWidth="1"/>
    <col min="13" max="13" width="14" customWidth="1"/>
    <col min="14" max="14" width="15" customWidth="1"/>
    <col min="15" max="16" width="13" customWidth="1"/>
    <col min="17" max="21" width="14" customWidth="1"/>
    <col min="22" max="23" width="18" customWidth="1"/>
    <col min="24" max="24" width="10" customWidth="1"/>
  </cols>
  <sheetData>
    <row r="1" spans="1:24" ht="20">
      <c r="A1" s="1" t="s">
        <v>66</v>
      </c>
      <c r="B1" s="1"/>
      <c r="C1" s="1"/>
      <c r="D1" s="1"/>
      <c r="E1" s="1"/>
      <c r="F1" s="1"/>
      <c r="G1" s="1"/>
      <c r="H1" s="1"/>
      <c r="I1" s="1"/>
      <c r="J1" s="1"/>
      <c r="K1" s="1"/>
      <c r="L1" s="1"/>
      <c r="M1" s="1"/>
      <c r="N1" s="1"/>
      <c r="O1" s="1"/>
      <c r="P1" s="1"/>
      <c r="Q1" s="1"/>
      <c r="R1" s="1"/>
      <c r="S1" s="1"/>
      <c r="T1" s="1"/>
      <c r="U1" s="1"/>
      <c r="V1" s="1"/>
      <c r="W1" s="1"/>
      <c r="X1" s="1"/>
    </row>
    <row r="3" spans="1:24" ht="30">
      <c r="A3" s="20" t="s">
        <v>25</v>
      </c>
      <c r="B3" s="20" t="s">
        <v>26</v>
      </c>
      <c r="C3" s="20" t="s">
        <v>27</v>
      </c>
      <c r="D3" s="20" t="s">
        <v>28</v>
      </c>
      <c r="E3" s="20" t="s">
        <v>36</v>
      </c>
      <c r="F3" s="34" t="s">
        <v>67</v>
      </c>
      <c r="G3" s="34" t="s">
        <v>68</v>
      </c>
      <c r="H3" s="34" t="s">
        <v>69</v>
      </c>
      <c r="I3" s="34" t="s">
        <v>70</v>
      </c>
      <c r="J3" s="34" t="s">
        <v>71</v>
      </c>
      <c r="K3" s="34" t="s">
        <v>72</v>
      </c>
      <c r="L3" s="34" t="s">
        <v>73</v>
      </c>
      <c r="M3" s="34" t="s">
        <v>74</v>
      </c>
      <c r="N3" s="34" t="s">
        <v>75</v>
      </c>
      <c r="O3" s="34" t="s">
        <v>76</v>
      </c>
      <c r="P3" s="34" t="s">
        <v>77</v>
      </c>
      <c r="Q3" s="34" t="s">
        <v>78</v>
      </c>
      <c r="R3" s="34" t="s">
        <v>254</v>
      </c>
      <c r="S3" s="34" t="s">
        <v>255</v>
      </c>
      <c r="T3" s="34" t="s">
        <v>256</v>
      </c>
      <c r="U3" s="34" t="s">
        <v>257</v>
      </c>
      <c r="V3" s="20" t="s">
        <v>79</v>
      </c>
      <c r="W3" s="20" t="s">
        <v>80</v>
      </c>
      <c r="X3" s="20" t="s">
        <v>81</v>
      </c>
    </row>
    <row r="4" spans="1:24">
      <c r="A4" s="21">
        <v>1</v>
      </c>
      <c r="B4" s="21" t="s">
        <v>43</v>
      </c>
      <c r="C4" s="51" t="s">
        <v>234</v>
      </c>
      <c r="D4" s="51" t="s">
        <v>235</v>
      </c>
      <c r="E4" s="25">
        <v>315000000</v>
      </c>
      <c r="F4" s="25">
        <v>94500000</v>
      </c>
      <c r="G4" s="22"/>
      <c r="H4" s="22"/>
      <c r="I4" s="51" t="s">
        <v>82</v>
      </c>
      <c r="J4" s="25">
        <v>189000000</v>
      </c>
      <c r="K4" s="22">
        <v>46142</v>
      </c>
      <c r="L4" s="22"/>
      <c r="M4" s="21" t="s">
        <v>83</v>
      </c>
      <c r="N4" s="25">
        <v>31500000</v>
      </c>
      <c r="O4" s="22">
        <v>46507</v>
      </c>
      <c r="P4" s="22"/>
      <c r="Q4" s="21" t="s">
        <v>83</v>
      </c>
      <c r="R4" s="25"/>
      <c r="S4" s="22"/>
      <c r="T4" s="22"/>
      <c r="U4" s="21"/>
      <c r="V4" s="30">
        <f>SUMPRODUCT((I4="Đã thanh toán")*F4)+SUMPRODUCT((M4="Đã thanh toán")*J4)+SUMPRODUCT((Q4="Đã thanh toán")*N4) + SUMPRODUCT((U4="Đã thanh toán")*R4)</f>
        <v>94500000</v>
      </c>
      <c r="W4" s="25">
        <f>E4-V4</f>
        <v>220500000</v>
      </c>
      <c r="X4" s="23">
        <f>IF(E4=0,0,V4/E4)</f>
        <v>0.3</v>
      </c>
    </row>
    <row r="5" spans="1:24" ht="28">
      <c r="A5" s="26">
        <v>2</v>
      </c>
      <c r="B5" s="26" t="s">
        <v>47</v>
      </c>
      <c r="C5" s="52" t="s">
        <v>237</v>
      </c>
      <c r="D5" s="26" t="s">
        <v>49</v>
      </c>
      <c r="E5" s="30">
        <v>7812500000</v>
      </c>
      <c r="F5" s="30">
        <v>1262500000</v>
      </c>
      <c r="G5" s="27">
        <v>46096</v>
      </c>
      <c r="H5" s="27"/>
      <c r="I5" s="26" t="s">
        <v>84</v>
      </c>
      <c r="J5" s="30">
        <v>3787500000</v>
      </c>
      <c r="K5" s="27">
        <v>46356</v>
      </c>
      <c r="L5" s="27"/>
      <c r="M5" s="26" t="s">
        <v>84</v>
      </c>
      <c r="N5" s="30">
        <v>2113250000</v>
      </c>
      <c r="O5" s="27">
        <v>46417</v>
      </c>
      <c r="P5" s="27"/>
      <c r="Q5" s="26" t="s">
        <v>83</v>
      </c>
      <c r="R5" s="30">
        <v>631250000</v>
      </c>
      <c r="S5" s="52" t="s">
        <v>258</v>
      </c>
      <c r="T5" s="26"/>
      <c r="U5" s="26" t="s">
        <v>83</v>
      </c>
      <c r="V5" s="30">
        <f>SUMPRODUCT((I5="Đã thanh toán")*F5)+SUMPRODUCT((M5="Đã thanh toán")*J5)+SUMPRODUCT((Q5="Đã thanh toán")*N5) + SUMPRODUCT((U5="Đã thanh toán")*R5)</f>
        <v>0</v>
      </c>
      <c r="W5" s="30">
        <f>E5-V5</f>
        <v>7812500000</v>
      </c>
      <c r="X5" s="28">
        <f>IF(E5=0,0,V5/E5)</f>
        <v>0</v>
      </c>
    </row>
    <row r="6" spans="1:24" ht="42">
      <c r="A6" s="21">
        <v>3</v>
      </c>
      <c r="B6" s="21" t="s">
        <v>51</v>
      </c>
      <c r="C6" s="51" t="s">
        <v>238</v>
      </c>
      <c r="D6" s="51" t="s">
        <v>241</v>
      </c>
      <c r="E6" s="25">
        <v>866000000</v>
      </c>
      <c r="F6" s="54">
        <v>281200000</v>
      </c>
      <c r="G6" s="22">
        <v>46111</v>
      </c>
      <c r="H6" s="22"/>
      <c r="I6" s="21" t="s">
        <v>83</v>
      </c>
      <c r="J6" s="25">
        <v>367800000</v>
      </c>
      <c r="K6" s="22">
        <v>46143</v>
      </c>
      <c r="L6" s="22"/>
      <c r="M6" s="21" t="s">
        <v>83</v>
      </c>
      <c r="N6" s="25">
        <v>303100000</v>
      </c>
      <c r="O6" s="22">
        <v>46296</v>
      </c>
      <c r="P6" s="22"/>
      <c r="Q6" s="21" t="s">
        <v>83</v>
      </c>
      <c r="R6" s="25">
        <v>129900000</v>
      </c>
      <c r="S6" s="53">
        <v>46661</v>
      </c>
      <c r="T6" s="21"/>
      <c r="U6" s="21" t="s">
        <v>83</v>
      </c>
      <c r="V6" s="30">
        <f t="shared" ref="V6:V8" si="0">SUMPRODUCT((I6="Đã thanh toán")*F6)+SUMPRODUCT((M6="Đã thanh toán")*J6)+SUMPRODUCT((Q6="Đã thanh toán")*N6) + SUMPRODUCT((U6="Đã thanh toán")*R6)</f>
        <v>0</v>
      </c>
      <c r="W6" s="25">
        <f>E6-V6</f>
        <v>866000000</v>
      </c>
      <c r="X6" s="23">
        <f>IF(E6=0,0,V6/E6)</f>
        <v>0</v>
      </c>
    </row>
    <row r="7" spans="1:24" ht="28">
      <c r="A7" s="26">
        <v>4</v>
      </c>
      <c r="B7" s="26" t="s">
        <v>55</v>
      </c>
      <c r="C7" s="52" t="s">
        <v>239</v>
      </c>
      <c r="D7" s="52" t="s">
        <v>252</v>
      </c>
      <c r="E7" s="25">
        <v>2300000000</v>
      </c>
      <c r="F7" s="30">
        <v>250000000</v>
      </c>
      <c r="G7" s="27"/>
      <c r="H7" s="27"/>
      <c r="I7" s="52" t="s">
        <v>82</v>
      </c>
      <c r="J7" s="30">
        <v>250000000</v>
      </c>
      <c r="K7" s="27">
        <v>46111</v>
      </c>
      <c r="L7" s="27"/>
      <c r="M7" s="26" t="s">
        <v>84</v>
      </c>
      <c r="N7" s="30"/>
      <c r="O7" s="27">
        <v>46112</v>
      </c>
      <c r="P7" s="27"/>
      <c r="Q7" s="26" t="s">
        <v>83</v>
      </c>
      <c r="R7" s="26"/>
      <c r="S7" s="26"/>
      <c r="T7" s="26"/>
      <c r="U7" s="26"/>
      <c r="V7" s="30">
        <f t="shared" si="0"/>
        <v>250000000</v>
      </c>
      <c r="W7" s="30">
        <f>E7-V7</f>
        <v>2050000000</v>
      </c>
      <c r="X7" s="28">
        <f>IF(E7=0,0,V7/E7)</f>
        <v>0.10869565217391304</v>
      </c>
    </row>
    <row r="8" spans="1:24" ht="42">
      <c r="A8" s="21">
        <v>5</v>
      </c>
      <c r="B8" s="21" t="s">
        <v>56</v>
      </c>
      <c r="C8" s="51" t="s">
        <v>245</v>
      </c>
      <c r="D8" s="51" t="s">
        <v>244</v>
      </c>
      <c r="E8" s="25"/>
      <c r="F8" s="25"/>
      <c r="G8" s="22"/>
      <c r="H8" s="22"/>
      <c r="I8" s="21" t="s">
        <v>83</v>
      </c>
      <c r="J8" s="25"/>
      <c r="K8" s="22"/>
      <c r="L8" s="22"/>
      <c r="M8" s="21" t="s">
        <v>83</v>
      </c>
      <c r="N8" s="25"/>
      <c r="O8" s="22"/>
      <c r="P8" s="22"/>
      <c r="Q8" s="21" t="s">
        <v>83</v>
      </c>
      <c r="R8" s="21"/>
      <c r="S8" s="21"/>
      <c r="T8" s="21"/>
      <c r="U8" s="21"/>
      <c r="V8" s="30">
        <f t="shared" si="0"/>
        <v>0</v>
      </c>
      <c r="W8" s="25">
        <f>E8-V8</f>
        <v>0</v>
      </c>
      <c r="X8" s="23">
        <f>IF(E8=0,0,V8/E8)</f>
        <v>0</v>
      </c>
    </row>
    <row r="9" spans="1:24" ht="15" customHeight="1">
      <c r="A9" s="46" t="s">
        <v>65</v>
      </c>
      <c r="B9" s="46"/>
      <c r="C9" s="46"/>
      <c r="D9" s="46"/>
      <c r="E9" s="33">
        <f>SUM(E4:E8)</f>
        <v>11293500000</v>
      </c>
      <c r="F9" s="33">
        <f>SUM(F4:F8)</f>
        <v>1888200000</v>
      </c>
      <c r="G9" s="31"/>
      <c r="H9" s="31"/>
      <c r="I9" s="31"/>
      <c r="J9" s="33">
        <f>SUM(J4:J8)</f>
        <v>4594300000</v>
      </c>
      <c r="K9" s="31"/>
      <c r="L9" s="31"/>
      <c r="M9" s="31"/>
      <c r="N9" s="33">
        <f>SUM(N4:N8)</f>
        <v>2447850000</v>
      </c>
      <c r="O9" s="31"/>
      <c r="P9" s="31"/>
      <c r="Q9" s="31"/>
      <c r="R9" s="31"/>
      <c r="S9" s="31"/>
      <c r="T9" s="31"/>
      <c r="U9" s="31"/>
      <c r="V9" s="33">
        <f>SUM(V4:V8)</f>
        <v>344500000</v>
      </c>
      <c r="W9" s="33">
        <f>SUM(W4:W8)</f>
        <v>10949000000</v>
      </c>
      <c r="X9" s="32">
        <f>IF(E9=0,0,V9/E9)</f>
        <v>3.0504272369061849E-2</v>
      </c>
    </row>
    <row r="14" spans="1:24">
      <c r="F14" s="55"/>
    </row>
  </sheetData>
  <mergeCells count="2">
    <mergeCell ref="A1:X1"/>
    <mergeCell ref="A9:D9"/>
  </mergeCells>
  <conditionalFormatting sqref="I4:I8">
    <cfRule type="cellIs" dxfId="20" priority="2" operator="equal">
      <formula>"Đã thanh toán"</formula>
    </cfRule>
    <cfRule type="cellIs" dxfId="19" priority="3" operator="equal">
      <formula>"Quá hạn"</formula>
    </cfRule>
    <cfRule type="cellIs" dxfId="18" priority="4" operator="equal">
      <formula>"Chờ thanh toán"</formula>
    </cfRule>
  </conditionalFormatting>
  <conditionalFormatting sqref="M4:M8">
    <cfRule type="cellIs" dxfId="17" priority="5" operator="equal">
      <formula>"Đã thanh toán"</formula>
    </cfRule>
    <cfRule type="cellIs" dxfId="16" priority="6" operator="equal">
      <formula>"Quá hạn"</formula>
    </cfRule>
    <cfRule type="cellIs" dxfId="15" priority="7" operator="equal">
      <formula>"Chờ thanh toán"</formula>
    </cfRule>
  </conditionalFormatting>
  <conditionalFormatting sqref="Q5:U8 Q4 U4:U5">
    <cfRule type="cellIs" dxfId="14" priority="8" operator="equal">
      <formula>"Đã thanh toán"</formula>
    </cfRule>
    <cfRule type="cellIs" dxfId="13" priority="9" operator="equal">
      <formula>"Quá hạn"</formula>
    </cfRule>
    <cfRule type="cellIs" dxfId="12" priority="10" operator="equal">
      <formula>"Chờ thanh toán"</formula>
    </cfRule>
  </conditionalFormatting>
  <conditionalFormatting sqref="X4:X8">
    <cfRule type="dataBar" priority="11">
      <dataBar>
        <cfvo type="num" val="0"/>
        <cfvo type="num" val="1"/>
        <color rgb="FF4472C4"/>
      </dataBar>
      <extLst>
        <ext xmlns:x14="http://schemas.microsoft.com/office/spreadsheetml/2009/9/main" uri="{B025F937-C7B1-47D3-B67F-A62EFF666E3E}">
          <x14:id>{E48C7829-C0E7-4753-9DEC-78A9ECE1D282}</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E48C7829-C0E7-4753-9DEC-78A9ECE1D282}">
            <x14:dataBar axisPosition="none">
              <x14:cfvo type="num">
                <xm:f>0</xm:f>
              </x14:cfvo>
              <x14:cfvo type="num">
                <xm:f>1</xm:f>
              </x14:cfvo>
              <x14:negativeFillColor rgb="FF4472C4"/>
            </x14:dataBar>
          </x14:cfRule>
          <xm:sqref>X4:X8</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200-000000000000}">
          <x14:formula1>
            <xm:f>Config!$H$4:$H$7</xm:f>
          </x14:formula1>
          <x14:formula2>
            <xm:f>0</xm:f>
          </x14:formula2>
          <xm:sqref>I4:I8 M4:M8 Q4:Q8 R5:T8 U4:U8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J65"/>
  <sheetViews>
    <sheetView tabSelected="1" zoomScaleNormal="100" workbookViewId="0">
      <pane ySplit="3" topLeftCell="A38" activePane="bottomLeft" state="frozen"/>
      <selection pane="bottomLeft" activeCell="F64" sqref="F64"/>
    </sheetView>
  </sheetViews>
  <sheetFormatPr baseColWidth="10" defaultColWidth="8.6640625" defaultRowHeight="15"/>
  <cols>
    <col min="1" max="1" width="21.83203125" customWidth="1"/>
    <col min="2" max="2" width="22" customWidth="1"/>
    <col min="3" max="3" width="27" customWidth="1"/>
    <col min="4" max="4" width="16" customWidth="1"/>
    <col min="5" max="5" width="34" customWidth="1"/>
    <col min="6" max="7" width="16" customWidth="1"/>
    <col min="8" max="8" width="15" customWidth="1"/>
    <col min="9" max="9" width="14" customWidth="1"/>
    <col min="10" max="10" width="25" customWidth="1"/>
  </cols>
  <sheetData>
    <row r="1" spans="1:10" ht="20">
      <c r="A1" s="1" t="s">
        <v>85</v>
      </c>
      <c r="B1" s="1"/>
      <c r="C1" s="1"/>
      <c r="D1" s="1"/>
      <c r="E1" s="1"/>
      <c r="F1" s="1"/>
      <c r="G1" s="1"/>
      <c r="H1" s="1"/>
      <c r="I1" s="1"/>
      <c r="J1" s="1"/>
    </row>
    <row r="3" spans="1:10" ht="30">
      <c r="A3" s="20" t="s">
        <v>25</v>
      </c>
      <c r="B3" s="20" t="s">
        <v>86</v>
      </c>
      <c r="C3" s="20" t="s">
        <v>87</v>
      </c>
      <c r="D3" s="20" t="s">
        <v>88</v>
      </c>
      <c r="E3" s="20" t="s">
        <v>89</v>
      </c>
      <c r="F3" s="20" t="s">
        <v>90</v>
      </c>
      <c r="G3" s="20" t="s">
        <v>91</v>
      </c>
      <c r="H3" s="20" t="s">
        <v>92</v>
      </c>
      <c r="I3" s="20" t="s">
        <v>22</v>
      </c>
      <c r="J3" s="20" t="s">
        <v>42</v>
      </c>
    </row>
    <row r="4" spans="1:10">
      <c r="A4" s="21">
        <v>1</v>
      </c>
      <c r="B4" s="56" t="s">
        <v>236</v>
      </c>
      <c r="C4" s="51" t="s">
        <v>274</v>
      </c>
      <c r="D4" s="51" t="s">
        <v>43</v>
      </c>
      <c r="E4" s="21" t="s">
        <v>93</v>
      </c>
      <c r="F4" s="21">
        <v>40</v>
      </c>
      <c r="G4" s="21">
        <v>42</v>
      </c>
      <c r="H4" s="23">
        <f t="shared" ref="H4:H21" si="0">IF(F4=0,0,G4/F4)</f>
        <v>1.05</v>
      </c>
      <c r="I4" s="21" t="s">
        <v>94</v>
      </c>
      <c r="J4" s="21" t="s">
        <v>95</v>
      </c>
    </row>
    <row r="5" spans="1:10">
      <c r="A5" s="26">
        <v>2</v>
      </c>
      <c r="B5" s="57" t="s">
        <v>259</v>
      </c>
      <c r="C5" s="52" t="s">
        <v>102</v>
      </c>
      <c r="D5" s="52" t="s">
        <v>47</v>
      </c>
      <c r="E5" s="52" t="s">
        <v>102</v>
      </c>
      <c r="F5" s="26">
        <v>40</v>
      </c>
      <c r="G5" s="26">
        <v>0</v>
      </c>
      <c r="H5" s="28">
        <f t="shared" si="0"/>
        <v>0</v>
      </c>
      <c r="I5" s="52" t="s">
        <v>96</v>
      </c>
      <c r="J5" s="26" t="s">
        <v>97</v>
      </c>
    </row>
    <row r="6" spans="1:10">
      <c r="A6" s="26">
        <v>3</v>
      </c>
      <c r="B6" s="57" t="s">
        <v>260</v>
      </c>
      <c r="C6" s="52" t="s">
        <v>275</v>
      </c>
      <c r="D6" s="26" t="s">
        <v>47</v>
      </c>
      <c r="E6" s="26" t="s">
        <v>98</v>
      </c>
      <c r="F6" s="26">
        <v>40</v>
      </c>
      <c r="G6" s="26">
        <v>38</v>
      </c>
      <c r="H6" s="28">
        <f t="shared" si="0"/>
        <v>0.95</v>
      </c>
      <c r="I6" s="26" t="s">
        <v>99</v>
      </c>
      <c r="J6" s="26" t="s">
        <v>100</v>
      </c>
    </row>
    <row r="7" spans="1:10">
      <c r="A7" s="21">
        <v>4</v>
      </c>
      <c r="B7" s="57" t="s">
        <v>281</v>
      </c>
      <c r="C7" s="51" t="s">
        <v>106</v>
      </c>
      <c r="D7" s="21" t="s">
        <v>56</v>
      </c>
      <c r="E7" s="21" t="s">
        <v>93</v>
      </c>
      <c r="F7" s="21">
        <v>40</v>
      </c>
      <c r="G7" s="21">
        <v>48</v>
      </c>
      <c r="H7" s="23">
        <f t="shared" si="0"/>
        <v>1.2</v>
      </c>
      <c r="I7" s="21" t="s">
        <v>96</v>
      </c>
      <c r="J7" s="21" t="s">
        <v>101</v>
      </c>
    </row>
    <row r="8" spans="1:10">
      <c r="A8" s="26">
        <v>5</v>
      </c>
      <c r="B8" s="57" t="s">
        <v>261</v>
      </c>
      <c r="C8" s="52" t="s">
        <v>102</v>
      </c>
      <c r="D8" s="26" t="s">
        <v>59</v>
      </c>
      <c r="E8" s="26" t="s">
        <v>98</v>
      </c>
      <c r="F8" s="26">
        <v>40</v>
      </c>
      <c r="G8" s="26">
        <v>40</v>
      </c>
      <c r="H8" s="28">
        <f t="shared" si="0"/>
        <v>1</v>
      </c>
      <c r="I8" s="26" t="s">
        <v>94</v>
      </c>
      <c r="J8" s="26"/>
    </row>
    <row r="9" spans="1:10">
      <c r="A9" s="26">
        <v>6</v>
      </c>
      <c r="B9" s="56" t="s">
        <v>262</v>
      </c>
      <c r="C9" s="51" t="s">
        <v>104</v>
      </c>
      <c r="D9" s="21" t="s">
        <v>62</v>
      </c>
      <c r="E9" s="21" t="s">
        <v>98</v>
      </c>
      <c r="F9" s="21">
        <v>40</v>
      </c>
      <c r="G9" s="21">
        <v>36</v>
      </c>
      <c r="H9" s="23">
        <f t="shared" si="0"/>
        <v>0.9</v>
      </c>
      <c r="I9" s="21" t="s">
        <v>94</v>
      </c>
      <c r="J9" s="21" t="s">
        <v>103</v>
      </c>
    </row>
    <row r="10" spans="1:10">
      <c r="A10" s="21">
        <v>7</v>
      </c>
      <c r="B10" s="56" t="s">
        <v>263</v>
      </c>
      <c r="C10" s="21" t="s">
        <v>106</v>
      </c>
      <c r="D10" s="21" t="s">
        <v>59</v>
      </c>
      <c r="E10" s="21" t="s">
        <v>105</v>
      </c>
      <c r="F10" s="21">
        <v>40</v>
      </c>
      <c r="G10" s="21">
        <v>38</v>
      </c>
      <c r="H10" s="23">
        <f t="shared" si="0"/>
        <v>0.95</v>
      </c>
      <c r="I10" s="21" t="s">
        <v>94</v>
      </c>
      <c r="J10" s="21"/>
    </row>
    <row r="11" spans="1:10">
      <c r="A11" s="26">
        <v>8</v>
      </c>
      <c r="B11" s="57" t="s">
        <v>264</v>
      </c>
      <c r="C11" s="26" t="s">
        <v>107</v>
      </c>
      <c r="D11" s="26" t="s">
        <v>47</v>
      </c>
      <c r="E11" s="26" t="s">
        <v>108</v>
      </c>
      <c r="F11" s="26">
        <v>40</v>
      </c>
      <c r="G11" s="26">
        <v>44</v>
      </c>
      <c r="H11" s="28">
        <f t="shared" si="0"/>
        <v>1.1000000000000001</v>
      </c>
      <c r="I11" s="26" t="s">
        <v>96</v>
      </c>
      <c r="J11" s="26" t="s">
        <v>109</v>
      </c>
    </row>
    <row r="12" spans="1:10">
      <c r="A12" s="26">
        <v>9</v>
      </c>
      <c r="B12" s="56" t="s">
        <v>242</v>
      </c>
      <c r="C12" s="51" t="s">
        <v>280</v>
      </c>
      <c r="D12" s="21" t="s">
        <v>43</v>
      </c>
      <c r="E12" s="21" t="s">
        <v>110</v>
      </c>
      <c r="F12" s="21">
        <v>24</v>
      </c>
      <c r="G12" s="21">
        <v>28</v>
      </c>
      <c r="H12" s="23">
        <f t="shared" si="0"/>
        <v>1.1666666666666667</v>
      </c>
      <c r="I12" s="21" t="s">
        <v>94</v>
      </c>
      <c r="J12" s="21" t="s">
        <v>111</v>
      </c>
    </row>
    <row r="13" spans="1:10">
      <c r="A13" s="21">
        <v>10</v>
      </c>
      <c r="B13" s="56" t="s">
        <v>246</v>
      </c>
      <c r="C13" s="51" t="s">
        <v>276</v>
      </c>
      <c r="D13" s="51" t="s">
        <v>43</v>
      </c>
      <c r="E13" s="21"/>
      <c r="F13" s="21"/>
      <c r="G13" s="21"/>
      <c r="H13" s="23"/>
      <c r="I13" s="21"/>
      <c r="J13" s="21"/>
    </row>
    <row r="14" spans="1:10">
      <c r="A14" s="26">
        <v>11</v>
      </c>
      <c r="B14" s="57" t="s">
        <v>265</v>
      </c>
      <c r="C14" s="21" t="s">
        <v>106</v>
      </c>
      <c r="D14" s="21"/>
      <c r="E14" s="21"/>
      <c r="F14" s="21"/>
      <c r="G14" s="21"/>
      <c r="H14" s="23"/>
      <c r="I14" s="21"/>
      <c r="J14" s="21"/>
    </row>
    <row r="15" spans="1:10">
      <c r="A15" s="26">
        <v>12</v>
      </c>
      <c r="B15" s="57" t="s">
        <v>266</v>
      </c>
      <c r="C15" s="26" t="s">
        <v>107</v>
      </c>
      <c r="D15" s="21"/>
      <c r="E15" s="21"/>
      <c r="F15" s="21"/>
      <c r="G15" s="21"/>
      <c r="H15" s="23"/>
      <c r="I15" s="21"/>
      <c r="J15" s="21"/>
    </row>
    <row r="16" spans="1:10">
      <c r="A16" s="21">
        <v>13</v>
      </c>
      <c r="B16" s="57" t="s">
        <v>267</v>
      </c>
      <c r="C16" s="51" t="s">
        <v>104</v>
      </c>
      <c r="D16" s="21"/>
      <c r="E16" s="21"/>
      <c r="F16" s="21"/>
      <c r="G16" s="21"/>
      <c r="H16" s="23"/>
      <c r="I16" s="21"/>
      <c r="J16" s="21"/>
    </row>
    <row r="17" spans="1:10">
      <c r="A17" s="26">
        <v>14</v>
      </c>
      <c r="B17" s="57" t="s">
        <v>268</v>
      </c>
      <c r="C17" s="51" t="s">
        <v>277</v>
      </c>
      <c r="D17" s="21"/>
      <c r="E17" s="21"/>
      <c r="F17" s="21"/>
      <c r="G17" s="21"/>
      <c r="H17" s="23"/>
      <c r="I17" s="21"/>
      <c r="J17" s="21"/>
    </row>
    <row r="18" spans="1:10">
      <c r="A18" s="26">
        <v>15</v>
      </c>
      <c r="B18" s="56" t="s">
        <v>269</v>
      </c>
      <c r="C18" s="51" t="s">
        <v>277</v>
      </c>
      <c r="D18" s="21"/>
      <c r="E18" s="21"/>
      <c r="F18" s="21"/>
      <c r="G18" s="21"/>
      <c r="H18" s="23"/>
      <c r="I18" s="21"/>
      <c r="J18" s="21"/>
    </row>
    <row r="19" spans="1:10">
      <c r="A19" s="21">
        <v>16</v>
      </c>
      <c r="B19" s="57" t="s">
        <v>270</v>
      </c>
      <c r="C19" s="26" t="s">
        <v>112</v>
      </c>
      <c r="D19" s="21"/>
      <c r="E19" s="21"/>
      <c r="F19" s="21"/>
      <c r="G19" s="21"/>
      <c r="H19" s="23"/>
      <c r="I19" s="21"/>
      <c r="J19" s="21"/>
    </row>
    <row r="20" spans="1:10">
      <c r="A20" s="26">
        <v>17</v>
      </c>
      <c r="B20" s="56" t="s">
        <v>271</v>
      </c>
      <c r="C20" s="51" t="s">
        <v>278</v>
      </c>
      <c r="D20" s="21"/>
      <c r="E20" s="21"/>
      <c r="F20" s="21"/>
      <c r="G20" s="21"/>
      <c r="H20" s="23"/>
      <c r="I20" s="21"/>
      <c r="J20" s="21"/>
    </row>
    <row r="21" spans="1:10">
      <c r="A21" s="26">
        <v>18</v>
      </c>
      <c r="B21" s="57" t="s">
        <v>272</v>
      </c>
      <c r="C21" s="52" t="s">
        <v>279</v>
      </c>
      <c r="D21" s="26" t="s">
        <v>56</v>
      </c>
      <c r="E21" s="26" t="s">
        <v>113</v>
      </c>
      <c r="F21" s="26">
        <v>32</v>
      </c>
      <c r="G21" s="26">
        <v>35</v>
      </c>
      <c r="H21" s="28">
        <f t="shared" si="0"/>
        <v>1.09375</v>
      </c>
      <c r="I21" s="26" t="s">
        <v>94</v>
      </c>
      <c r="J21" s="26" t="s">
        <v>114</v>
      </c>
    </row>
    <row r="22" spans="1:10">
      <c r="A22" s="21">
        <v>19</v>
      </c>
      <c r="B22" s="57" t="s">
        <v>273</v>
      </c>
      <c r="C22" s="52" t="s">
        <v>107</v>
      </c>
      <c r="D22" s="26"/>
      <c r="E22" s="26"/>
      <c r="F22" s="26"/>
      <c r="G22" s="26"/>
      <c r="H22" s="28"/>
      <c r="I22" s="26"/>
      <c r="J22" s="26"/>
    </row>
    <row r="23" spans="1:10">
      <c r="A23" s="26">
        <v>20</v>
      </c>
      <c r="B23" s="57"/>
      <c r="C23" s="26"/>
      <c r="D23" s="26"/>
      <c r="E23" s="26"/>
      <c r="F23" s="26"/>
      <c r="G23" s="26"/>
      <c r="H23" s="28"/>
      <c r="I23" s="26"/>
      <c r="J23" s="26"/>
    </row>
    <row r="24" spans="1:10">
      <c r="A24" s="21">
        <v>21</v>
      </c>
      <c r="B24" s="57"/>
      <c r="C24" s="26"/>
      <c r="D24" s="26"/>
      <c r="E24" s="26"/>
      <c r="F24" s="26"/>
      <c r="G24" s="26"/>
      <c r="H24" s="28"/>
      <c r="I24" s="26"/>
      <c r="J24" s="26"/>
    </row>
    <row r="25" spans="1:10" ht="15" customHeight="1">
      <c r="A25" s="46" t="s">
        <v>115</v>
      </c>
      <c r="B25" s="46"/>
      <c r="C25" s="46"/>
      <c r="D25" s="46"/>
      <c r="E25" s="46"/>
      <c r="F25" s="31">
        <f>AVERAGE(F4:F21)</f>
        <v>37.6</v>
      </c>
      <c r="G25" s="31">
        <f>AVERAGE(G4:G21)</f>
        <v>34.9</v>
      </c>
      <c r="H25" s="32">
        <f>AVERAGE(H4:H21)</f>
        <v>0.94104166666666667</v>
      </c>
      <c r="I25" s="31"/>
      <c r="J25" s="31"/>
    </row>
    <row r="45" spans="1:8" ht="16">
      <c r="A45" s="45" t="s">
        <v>116</v>
      </c>
      <c r="B45" s="45"/>
      <c r="C45" s="45"/>
      <c r="D45" s="45"/>
      <c r="E45" s="45"/>
      <c r="F45" s="45"/>
      <c r="G45" s="45"/>
      <c r="H45" s="45"/>
    </row>
    <row r="46" spans="1:8" ht="28">
      <c r="A46" s="35" t="s">
        <v>117</v>
      </c>
      <c r="B46" s="36" t="s">
        <v>234</v>
      </c>
      <c r="C46" s="36" t="s">
        <v>237</v>
      </c>
      <c r="D46" s="36" t="s">
        <v>238</v>
      </c>
      <c r="E46" s="36" t="s">
        <v>239</v>
      </c>
      <c r="F46" s="36" t="s">
        <v>245</v>
      </c>
      <c r="G46" s="36" t="s">
        <v>283</v>
      </c>
    </row>
    <row r="47" spans="1:8">
      <c r="A47" s="56" t="s">
        <v>236</v>
      </c>
      <c r="B47" s="51" t="s">
        <v>282</v>
      </c>
      <c r="C47" s="51" t="s">
        <v>282</v>
      </c>
      <c r="D47" s="51" t="s">
        <v>282</v>
      </c>
      <c r="E47" s="51" t="s">
        <v>282</v>
      </c>
      <c r="F47" s="51" t="s">
        <v>282</v>
      </c>
      <c r="G47" s="51" t="s">
        <v>282</v>
      </c>
    </row>
    <row r="48" spans="1:8">
      <c r="A48" s="57" t="s">
        <v>259</v>
      </c>
      <c r="B48" s="26" t="s">
        <v>118</v>
      </c>
      <c r="C48" s="52" t="s">
        <v>282</v>
      </c>
      <c r="D48" s="26" t="s">
        <v>118</v>
      </c>
      <c r="E48" s="26" t="s">
        <v>118</v>
      </c>
      <c r="F48" s="26" t="s">
        <v>118</v>
      </c>
      <c r="G48" s="52" t="s">
        <v>282</v>
      </c>
    </row>
    <row r="49" spans="1:7">
      <c r="A49" s="57" t="s">
        <v>260</v>
      </c>
      <c r="B49" s="21" t="s">
        <v>118</v>
      </c>
      <c r="C49" s="51" t="s">
        <v>282</v>
      </c>
      <c r="D49" s="21"/>
      <c r="E49" s="51" t="s">
        <v>282</v>
      </c>
      <c r="F49" s="21" t="s">
        <v>118</v>
      </c>
      <c r="G49" s="51" t="s">
        <v>282</v>
      </c>
    </row>
    <row r="50" spans="1:7">
      <c r="A50" s="57" t="s">
        <v>281</v>
      </c>
      <c r="B50" s="52" t="s">
        <v>282</v>
      </c>
      <c r="C50" s="52" t="s">
        <v>282</v>
      </c>
      <c r="D50" s="26" t="s">
        <v>118</v>
      </c>
      <c r="E50" s="52" t="s">
        <v>282</v>
      </c>
      <c r="F50" s="52" t="s">
        <v>282</v>
      </c>
      <c r="G50" s="52" t="s">
        <v>282</v>
      </c>
    </row>
    <row r="51" spans="1:7">
      <c r="A51" s="57" t="s">
        <v>261</v>
      </c>
      <c r="B51" s="21" t="s">
        <v>118</v>
      </c>
      <c r="C51" s="51" t="s">
        <v>282</v>
      </c>
      <c r="D51" s="21" t="s">
        <v>118</v>
      </c>
      <c r="E51" s="21" t="s">
        <v>118</v>
      </c>
      <c r="F51" s="51" t="s">
        <v>118</v>
      </c>
      <c r="G51" s="51" t="s">
        <v>282</v>
      </c>
    </row>
    <row r="52" spans="1:7">
      <c r="A52" s="56" t="s">
        <v>262</v>
      </c>
      <c r="B52" s="52" t="s">
        <v>282</v>
      </c>
      <c r="C52" s="52" t="s">
        <v>282</v>
      </c>
      <c r="D52" s="52" t="s">
        <v>282</v>
      </c>
      <c r="E52" s="52" t="s">
        <v>282</v>
      </c>
      <c r="F52" s="52" t="s">
        <v>282</v>
      </c>
      <c r="G52" s="52" t="s">
        <v>282</v>
      </c>
    </row>
    <row r="53" spans="1:7">
      <c r="A53" s="56" t="s">
        <v>263</v>
      </c>
      <c r="B53" s="51" t="s">
        <v>118</v>
      </c>
      <c r="C53" s="51" t="s">
        <v>282</v>
      </c>
      <c r="D53" s="51" t="s">
        <v>282</v>
      </c>
      <c r="E53" s="51" t="s">
        <v>282</v>
      </c>
      <c r="F53" s="21" t="s">
        <v>118</v>
      </c>
      <c r="G53" s="51" t="s">
        <v>282</v>
      </c>
    </row>
    <row r="54" spans="1:7">
      <c r="A54" s="57" t="s">
        <v>264</v>
      </c>
      <c r="B54" s="26" t="s">
        <v>118</v>
      </c>
      <c r="C54" s="52" t="s">
        <v>282</v>
      </c>
      <c r="D54" s="52" t="s">
        <v>282</v>
      </c>
      <c r="E54" s="52" t="s">
        <v>282</v>
      </c>
      <c r="F54" s="26" t="s">
        <v>118</v>
      </c>
      <c r="G54" s="52" t="s">
        <v>282</v>
      </c>
    </row>
    <row r="55" spans="1:7">
      <c r="A55" s="56" t="s">
        <v>242</v>
      </c>
      <c r="B55" s="51" t="s">
        <v>118</v>
      </c>
      <c r="C55" s="51" t="s">
        <v>282</v>
      </c>
      <c r="D55" s="51" t="s">
        <v>118</v>
      </c>
      <c r="E55" s="51" t="s">
        <v>118</v>
      </c>
      <c r="F55" s="51" t="s">
        <v>282</v>
      </c>
      <c r="G55" s="51" t="s">
        <v>282</v>
      </c>
    </row>
    <row r="56" spans="1:7">
      <c r="A56" s="56" t="s">
        <v>246</v>
      </c>
      <c r="B56" s="52" t="s">
        <v>282</v>
      </c>
      <c r="C56" s="52" t="s">
        <v>282</v>
      </c>
      <c r="D56" s="52" t="s">
        <v>282</v>
      </c>
      <c r="E56" s="52" t="s">
        <v>282</v>
      </c>
      <c r="F56" s="52" t="s">
        <v>282</v>
      </c>
      <c r="G56" s="52" t="s">
        <v>282</v>
      </c>
    </row>
    <row r="57" spans="1:7">
      <c r="A57" s="57" t="s">
        <v>265</v>
      </c>
      <c r="B57" s="51" t="s">
        <v>282</v>
      </c>
      <c r="C57" s="51" t="s">
        <v>282</v>
      </c>
      <c r="D57" s="21" t="s">
        <v>118</v>
      </c>
      <c r="E57" s="21" t="s">
        <v>118</v>
      </c>
      <c r="F57" s="21" t="s">
        <v>118</v>
      </c>
      <c r="G57" s="51" t="s">
        <v>282</v>
      </c>
    </row>
    <row r="58" spans="1:7">
      <c r="A58" s="57" t="s">
        <v>266</v>
      </c>
      <c r="B58" s="52" t="s">
        <v>282</v>
      </c>
      <c r="C58" s="52" t="s">
        <v>282</v>
      </c>
      <c r="D58" s="52" t="s">
        <v>282</v>
      </c>
      <c r="E58" s="26" t="s">
        <v>118</v>
      </c>
      <c r="F58" s="26" t="s">
        <v>118</v>
      </c>
      <c r="G58" s="52" t="s">
        <v>282</v>
      </c>
    </row>
    <row r="59" spans="1:7">
      <c r="A59" s="57" t="s">
        <v>267</v>
      </c>
      <c r="B59" s="51" t="s">
        <v>282</v>
      </c>
      <c r="C59" s="21" t="s">
        <v>118</v>
      </c>
      <c r="D59" s="21" t="s">
        <v>118</v>
      </c>
      <c r="E59" s="21" t="s">
        <v>118</v>
      </c>
      <c r="F59" s="51" t="s">
        <v>118</v>
      </c>
      <c r="G59" s="51" t="s">
        <v>282</v>
      </c>
    </row>
    <row r="60" spans="1:7">
      <c r="A60" s="57" t="s">
        <v>268</v>
      </c>
      <c r="B60" s="52" t="s">
        <v>282</v>
      </c>
      <c r="C60" s="52" t="s">
        <v>282</v>
      </c>
      <c r="D60" s="26" t="s">
        <v>118</v>
      </c>
      <c r="E60" s="26" t="s">
        <v>118</v>
      </c>
      <c r="F60" s="26" t="s">
        <v>118</v>
      </c>
      <c r="G60" s="26" t="s">
        <v>118</v>
      </c>
    </row>
    <row r="61" spans="1:7">
      <c r="A61" s="56" t="s">
        <v>269</v>
      </c>
      <c r="B61" s="51" t="s">
        <v>282</v>
      </c>
      <c r="C61" s="51" t="s">
        <v>282</v>
      </c>
      <c r="D61" s="51" t="s">
        <v>282</v>
      </c>
      <c r="E61" s="51" t="s">
        <v>282</v>
      </c>
      <c r="F61" s="51" t="s">
        <v>282</v>
      </c>
      <c r="G61" s="21" t="s">
        <v>118</v>
      </c>
    </row>
    <row r="62" spans="1:7">
      <c r="A62" s="57" t="s">
        <v>270</v>
      </c>
      <c r="B62" s="52" t="s">
        <v>282</v>
      </c>
      <c r="C62" s="52" t="s">
        <v>282</v>
      </c>
      <c r="D62" s="52" t="s">
        <v>282</v>
      </c>
      <c r="E62" s="52" t="s">
        <v>282</v>
      </c>
      <c r="F62" s="52" t="s">
        <v>282</v>
      </c>
      <c r="G62" s="52" t="s">
        <v>282</v>
      </c>
    </row>
    <row r="63" spans="1:7">
      <c r="A63" s="56" t="s">
        <v>271</v>
      </c>
      <c r="B63" s="51" t="s">
        <v>282</v>
      </c>
      <c r="C63" s="21" t="s">
        <v>118</v>
      </c>
      <c r="D63" s="21" t="s">
        <v>118</v>
      </c>
      <c r="E63" s="21" t="s">
        <v>118</v>
      </c>
      <c r="F63" s="51" t="s">
        <v>282</v>
      </c>
      <c r="G63" s="51" t="s">
        <v>118</v>
      </c>
    </row>
    <row r="64" spans="1:7">
      <c r="A64" s="57" t="s">
        <v>272</v>
      </c>
      <c r="B64" s="52" t="s">
        <v>118</v>
      </c>
      <c r="C64" s="52" t="s">
        <v>282</v>
      </c>
      <c r="D64" s="26" t="s">
        <v>118</v>
      </c>
      <c r="E64" s="26" t="s">
        <v>118</v>
      </c>
      <c r="F64" s="26" t="s">
        <v>118</v>
      </c>
      <c r="G64" s="52" t="s">
        <v>282</v>
      </c>
    </row>
    <row r="65" spans="1:7">
      <c r="A65" s="57" t="s">
        <v>273</v>
      </c>
      <c r="B65" s="21" t="s">
        <v>118</v>
      </c>
      <c r="C65" s="51" t="s">
        <v>282</v>
      </c>
      <c r="D65" s="21" t="s">
        <v>118</v>
      </c>
      <c r="E65" s="21" t="s">
        <v>118</v>
      </c>
      <c r="F65" s="51" t="s">
        <v>282</v>
      </c>
      <c r="G65" s="51" t="s">
        <v>282</v>
      </c>
    </row>
  </sheetData>
  <mergeCells count="3">
    <mergeCell ref="A1:J1"/>
    <mergeCell ref="A25:E25"/>
    <mergeCell ref="A45:H45"/>
  </mergeCells>
  <conditionalFormatting sqref="H4:H24">
    <cfRule type="cellIs" dxfId="11" priority="2" operator="greaterThan">
      <formula>1.1</formula>
    </cfRule>
    <cfRule type="cellIs" dxfId="10" priority="3" operator="between">
      <formula>0.8</formula>
      <formula>1.1</formula>
    </cfRule>
    <cfRule type="cellIs" dxfId="9" priority="4" operator="lessThan">
      <formula>0.8</formula>
    </cfRule>
    <cfRule type="dataBar" priority="5">
      <dataBar>
        <cfvo type="num" val="0"/>
        <cfvo type="num" val="1.5"/>
        <color rgb="FF4472C4"/>
      </dataBar>
      <extLst>
        <ext xmlns:x14="http://schemas.microsoft.com/office/spreadsheetml/2009/9/main" uri="{B025F937-C7B1-47D3-B67F-A62EFF666E3E}">
          <x14:id>{97ED7E88-79A4-4A55-A353-D4A57BF65983}</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97ED7E88-79A4-4A55-A353-D4A57BF65983}">
            <x14:dataBar axisPosition="none">
              <x14:cfvo type="num">
                <xm:f>0</xm:f>
              </x14:cfvo>
              <x14:cfvo type="num">
                <xm:f>1.5</xm:f>
              </x14:cfvo>
              <x14:negativeFillColor rgb="FF4472C4"/>
            </x14:dataBar>
          </x14:cfRule>
          <xm:sqref>H4:H24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O28"/>
  <sheetViews>
    <sheetView zoomScaleNormal="100" workbookViewId="0">
      <pane ySplit="3" topLeftCell="A4" activePane="bottomLeft" state="frozen"/>
      <selection pane="bottomLeft" sqref="A1:N1"/>
    </sheetView>
  </sheetViews>
  <sheetFormatPr baseColWidth="10" defaultColWidth="8.6640625" defaultRowHeight="15"/>
  <cols>
    <col min="1" max="1" width="5" customWidth="1"/>
    <col min="2" max="2" width="14" customWidth="1"/>
    <col min="3" max="3" width="25" customWidth="1"/>
    <col min="4" max="4" width="35" customWidth="1"/>
    <col min="5" max="5" width="15" customWidth="1"/>
    <col min="6" max="6" width="16" customWidth="1"/>
    <col min="7" max="7" width="15" customWidth="1"/>
    <col min="8" max="11" width="12" customWidth="1"/>
    <col min="12" max="12" width="18" customWidth="1"/>
    <col min="13" max="13" width="35" customWidth="1"/>
    <col min="14" max="15" width="13" customWidth="1"/>
  </cols>
  <sheetData>
    <row r="1" spans="1:15" ht="20">
      <c r="A1" s="1" t="s">
        <v>119</v>
      </c>
      <c r="B1" s="1"/>
      <c r="C1" s="1"/>
      <c r="D1" s="1"/>
      <c r="E1" s="1"/>
      <c r="F1" s="1"/>
      <c r="G1" s="1"/>
      <c r="H1" s="1"/>
      <c r="I1" s="1"/>
      <c r="J1" s="1"/>
      <c r="K1" s="1"/>
      <c r="L1" s="1"/>
      <c r="M1" s="1"/>
      <c r="N1" s="1"/>
    </row>
    <row r="3" spans="1:15" ht="30">
      <c r="A3" s="20" t="s">
        <v>25</v>
      </c>
      <c r="B3" s="20" t="s">
        <v>26</v>
      </c>
      <c r="C3" s="20" t="s">
        <v>27</v>
      </c>
      <c r="D3" s="20" t="s">
        <v>120</v>
      </c>
      <c r="E3" s="20" t="s">
        <v>121</v>
      </c>
      <c r="F3" s="20" t="s">
        <v>122</v>
      </c>
      <c r="G3" s="20" t="s">
        <v>123</v>
      </c>
      <c r="H3" s="20" t="s">
        <v>124</v>
      </c>
      <c r="I3" s="20" t="s">
        <v>125</v>
      </c>
      <c r="J3" s="20" t="s">
        <v>126</v>
      </c>
      <c r="K3" s="20" t="s">
        <v>127</v>
      </c>
      <c r="L3" s="20" t="s">
        <v>128</v>
      </c>
      <c r="M3" s="20" t="s">
        <v>129</v>
      </c>
      <c r="N3" s="20" t="s">
        <v>130</v>
      </c>
      <c r="O3" s="20" t="s">
        <v>22</v>
      </c>
    </row>
    <row r="4" spans="1:15" ht="28">
      <c r="A4" s="21">
        <v>1</v>
      </c>
      <c r="B4" s="21" t="s">
        <v>47</v>
      </c>
      <c r="C4" s="21" t="s">
        <v>48</v>
      </c>
      <c r="D4" s="21" t="s">
        <v>131</v>
      </c>
      <c r="E4" s="21" t="s">
        <v>19</v>
      </c>
      <c r="F4" s="21" t="s">
        <v>132</v>
      </c>
      <c r="G4" s="21" t="s">
        <v>46</v>
      </c>
      <c r="H4" s="21">
        <f>IFERROR(VLOOKUP(E4,Config!$A$20:$B$23,2,FALSE()),0)</f>
        <v>4</v>
      </c>
      <c r="I4" s="21">
        <f t="shared" ref="I4:I11" si="0">IF(ISNUMBER(SEARCH("Rất cao",F4)),5,IF(ISNUMBER(SEARCH("Cao",F4)),4,IF(ISNUMBER(SEARCH("Trung bình",F4)),3,IF(ISNUMBER(SEARCH("Thấp",F4)),2,IF(ISNUMBER(SEARCH("Rất thấp",F4)),1,0)))))</f>
        <v>4</v>
      </c>
      <c r="J4" s="21">
        <f>IFERROR(VLOOKUP(G4,Config!$A$20:$B$23,2,FALSE()),0)</f>
        <v>3</v>
      </c>
      <c r="K4" s="37">
        <f t="shared" ref="K4:K11" si="1">H4*I4*J4</f>
        <v>48</v>
      </c>
      <c r="L4" s="21" t="s">
        <v>50</v>
      </c>
      <c r="M4" s="21" t="s">
        <v>133</v>
      </c>
      <c r="N4" s="22">
        <v>46101</v>
      </c>
      <c r="O4" s="21" t="s">
        <v>134</v>
      </c>
    </row>
    <row r="5" spans="1:15">
      <c r="A5" s="26">
        <v>2</v>
      </c>
      <c r="B5" s="26" t="s">
        <v>56</v>
      </c>
      <c r="C5" s="26" t="s">
        <v>57</v>
      </c>
      <c r="D5" s="26" t="s">
        <v>135</v>
      </c>
      <c r="E5" s="26" t="s">
        <v>46</v>
      </c>
      <c r="F5" s="26" t="s">
        <v>136</v>
      </c>
      <c r="G5" s="26" t="s">
        <v>46</v>
      </c>
      <c r="H5" s="26">
        <f>IFERROR(VLOOKUP(E5,Config!$A$20:$B$23,2,FALSE()),0)</f>
        <v>3</v>
      </c>
      <c r="I5" s="26">
        <f t="shared" si="0"/>
        <v>5</v>
      </c>
      <c r="J5" s="26">
        <f>IFERROR(VLOOKUP(G5,Config!$A$20:$B$23,2,FALSE()),0)</f>
        <v>3</v>
      </c>
      <c r="K5" s="38">
        <f t="shared" si="1"/>
        <v>45</v>
      </c>
      <c r="L5" s="26" t="s">
        <v>58</v>
      </c>
      <c r="M5" s="26" t="s">
        <v>137</v>
      </c>
      <c r="N5" s="27">
        <v>46106</v>
      </c>
      <c r="O5" s="26" t="s">
        <v>138</v>
      </c>
    </row>
    <row r="6" spans="1:15" ht="28">
      <c r="A6" s="21">
        <v>3</v>
      </c>
      <c r="B6" s="21" t="s">
        <v>56</v>
      </c>
      <c r="C6" s="21" t="s">
        <v>57</v>
      </c>
      <c r="D6" s="21" t="s">
        <v>139</v>
      </c>
      <c r="E6" s="21" t="s">
        <v>46</v>
      </c>
      <c r="F6" s="21" t="s">
        <v>132</v>
      </c>
      <c r="G6" s="21" t="s">
        <v>19</v>
      </c>
      <c r="H6" s="21">
        <f>IFERROR(VLOOKUP(E6,Config!$A$20:$B$23,2,FALSE()),0)</f>
        <v>3</v>
      </c>
      <c r="I6" s="21">
        <f t="shared" si="0"/>
        <v>4</v>
      </c>
      <c r="J6" s="21">
        <f>IFERROR(VLOOKUP(G6,Config!$A$20:$B$23,2,FALSE()),0)</f>
        <v>4</v>
      </c>
      <c r="K6" s="37">
        <f t="shared" si="1"/>
        <v>48</v>
      </c>
      <c r="L6" s="21" t="s">
        <v>58</v>
      </c>
      <c r="M6" s="21" t="s">
        <v>140</v>
      </c>
      <c r="N6" s="22">
        <v>46113</v>
      </c>
      <c r="O6" s="21" t="s">
        <v>134</v>
      </c>
    </row>
    <row r="7" spans="1:15" ht="28">
      <c r="A7" s="26">
        <v>4</v>
      </c>
      <c r="B7" s="26" t="s">
        <v>43</v>
      </c>
      <c r="C7" s="26" t="s">
        <v>44</v>
      </c>
      <c r="D7" s="26" t="s">
        <v>141</v>
      </c>
      <c r="E7" s="26" t="s">
        <v>54</v>
      </c>
      <c r="F7" s="26" t="s">
        <v>142</v>
      </c>
      <c r="G7" s="26" t="s">
        <v>46</v>
      </c>
      <c r="H7" s="26">
        <f>IFERROR(VLOOKUP(E7,Config!$A$20:$B$23,2,FALSE()),0)</f>
        <v>2</v>
      </c>
      <c r="I7" s="26">
        <f t="shared" si="0"/>
        <v>3</v>
      </c>
      <c r="J7" s="26">
        <f>IFERROR(VLOOKUP(G7,Config!$A$20:$B$23,2,FALSE()),0)</f>
        <v>3</v>
      </c>
      <c r="K7" s="38">
        <f t="shared" si="1"/>
        <v>18</v>
      </c>
      <c r="L7" s="26" t="s">
        <v>45</v>
      </c>
      <c r="M7" s="26" t="s">
        <v>143</v>
      </c>
      <c r="N7" s="27">
        <v>46127</v>
      </c>
      <c r="O7" s="26" t="s">
        <v>138</v>
      </c>
    </row>
    <row r="8" spans="1:15" ht="28">
      <c r="A8" s="21">
        <v>5</v>
      </c>
      <c r="B8" s="21" t="s">
        <v>59</v>
      </c>
      <c r="C8" s="21" t="s">
        <v>60</v>
      </c>
      <c r="D8" s="21" t="s">
        <v>144</v>
      </c>
      <c r="E8" s="21" t="s">
        <v>54</v>
      </c>
      <c r="F8" s="21" t="s">
        <v>145</v>
      </c>
      <c r="G8" s="21" t="s">
        <v>54</v>
      </c>
      <c r="H8" s="21">
        <f>IFERROR(VLOOKUP(E8,Config!$A$20:$B$23,2,FALSE()),0)</f>
        <v>2</v>
      </c>
      <c r="I8" s="21">
        <f t="shared" si="0"/>
        <v>2</v>
      </c>
      <c r="J8" s="21">
        <f>IFERROR(VLOOKUP(G8,Config!$A$20:$B$23,2,FALSE()),0)</f>
        <v>2</v>
      </c>
      <c r="K8" s="37">
        <f t="shared" si="1"/>
        <v>8</v>
      </c>
      <c r="L8" s="21" t="s">
        <v>61</v>
      </c>
      <c r="M8" s="21" t="s">
        <v>146</v>
      </c>
      <c r="N8" s="22">
        <v>46143</v>
      </c>
      <c r="O8" s="21" t="s">
        <v>134</v>
      </c>
    </row>
    <row r="9" spans="1:15" ht="28">
      <c r="A9" s="26">
        <v>6</v>
      </c>
      <c r="B9" s="26" t="s">
        <v>62</v>
      </c>
      <c r="C9" s="26" t="s">
        <v>63</v>
      </c>
      <c r="D9" s="26" t="s">
        <v>147</v>
      </c>
      <c r="E9" s="26" t="s">
        <v>46</v>
      </c>
      <c r="F9" s="26" t="s">
        <v>142</v>
      </c>
      <c r="G9" s="26" t="s">
        <v>46</v>
      </c>
      <c r="H9" s="26">
        <f>IFERROR(VLOOKUP(E9,Config!$A$20:$B$23,2,FALSE()),0)</f>
        <v>3</v>
      </c>
      <c r="I9" s="26">
        <f t="shared" si="0"/>
        <v>3</v>
      </c>
      <c r="J9" s="26">
        <f>IFERROR(VLOOKUP(G9,Config!$A$20:$B$23,2,FALSE()),0)</f>
        <v>3</v>
      </c>
      <c r="K9" s="38">
        <f t="shared" si="1"/>
        <v>27</v>
      </c>
      <c r="L9" s="26" t="s">
        <v>64</v>
      </c>
      <c r="M9" s="26" t="s">
        <v>148</v>
      </c>
      <c r="N9" s="27">
        <v>46188</v>
      </c>
      <c r="O9" s="26" t="s">
        <v>134</v>
      </c>
    </row>
    <row r="10" spans="1:15" ht="28">
      <c r="A10" s="21">
        <v>7</v>
      </c>
      <c r="B10" s="21" t="s">
        <v>47</v>
      </c>
      <c r="C10" s="21" t="s">
        <v>48</v>
      </c>
      <c r="D10" s="21" t="s">
        <v>149</v>
      </c>
      <c r="E10" s="21" t="s">
        <v>19</v>
      </c>
      <c r="F10" s="21" t="s">
        <v>142</v>
      </c>
      <c r="G10" s="21" t="s">
        <v>19</v>
      </c>
      <c r="H10" s="21">
        <f>IFERROR(VLOOKUP(E10,Config!$A$20:$B$23,2,FALSE()),0)</f>
        <v>4</v>
      </c>
      <c r="I10" s="21">
        <f t="shared" si="0"/>
        <v>3</v>
      </c>
      <c r="J10" s="21">
        <f>IFERROR(VLOOKUP(G10,Config!$A$20:$B$23,2,FALSE()),0)</f>
        <v>4</v>
      </c>
      <c r="K10" s="37">
        <f t="shared" si="1"/>
        <v>48</v>
      </c>
      <c r="L10" s="21" t="s">
        <v>50</v>
      </c>
      <c r="M10" s="21" t="s">
        <v>150</v>
      </c>
      <c r="N10" s="22">
        <v>46112</v>
      </c>
      <c r="O10" s="21" t="s">
        <v>151</v>
      </c>
    </row>
    <row r="11" spans="1:15" ht="28">
      <c r="A11" s="26">
        <v>8</v>
      </c>
      <c r="B11" s="26" t="s">
        <v>51</v>
      </c>
      <c r="C11" s="26" t="s">
        <v>52</v>
      </c>
      <c r="D11" s="26" t="s">
        <v>152</v>
      </c>
      <c r="E11" s="26" t="s">
        <v>54</v>
      </c>
      <c r="F11" s="26" t="s">
        <v>132</v>
      </c>
      <c r="G11" s="26" t="s">
        <v>54</v>
      </c>
      <c r="H11" s="26">
        <f>IFERROR(VLOOKUP(E11,Config!$A$20:$B$23,2,FALSE()),0)</f>
        <v>2</v>
      </c>
      <c r="I11" s="26">
        <f t="shared" si="0"/>
        <v>4</v>
      </c>
      <c r="J11" s="26">
        <f>IFERROR(VLOOKUP(G11,Config!$A$20:$B$23,2,FALSE()),0)</f>
        <v>2</v>
      </c>
      <c r="K11" s="38">
        <f t="shared" si="1"/>
        <v>16</v>
      </c>
      <c r="L11" s="26" t="s">
        <v>53</v>
      </c>
      <c r="M11" s="26" t="s">
        <v>153</v>
      </c>
      <c r="N11" s="27">
        <v>46122</v>
      </c>
      <c r="O11" s="26" t="s">
        <v>138</v>
      </c>
    </row>
    <row r="13" spans="1:15" ht="16">
      <c r="A13" s="45" t="s">
        <v>154</v>
      </c>
      <c r="B13" s="45"/>
      <c r="C13" s="45"/>
      <c r="D13" s="45"/>
    </row>
    <row r="14" spans="1:15">
      <c r="A14" s="15" t="s">
        <v>155</v>
      </c>
      <c r="B14" s="15">
        <f>COUNTA(E4:E11)</f>
        <v>8</v>
      </c>
    </row>
    <row r="15" spans="1:15">
      <c r="A15" s="15" t="s">
        <v>156</v>
      </c>
      <c r="B15" s="15">
        <f>COUNTIF(E4:E11,"Critical")</f>
        <v>2</v>
      </c>
    </row>
    <row r="16" spans="1:15">
      <c r="A16" s="15" t="s">
        <v>157</v>
      </c>
      <c r="B16" s="15">
        <f>COUNTIF(E4:E11,"High")</f>
        <v>3</v>
      </c>
    </row>
    <row r="17" spans="1:6">
      <c r="A17" s="15" t="s">
        <v>158</v>
      </c>
      <c r="B17" s="15">
        <f>COUNTIF(O4:O11,"Open")</f>
        <v>4</v>
      </c>
    </row>
    <row r="18" spans="1:6">
      <c r="A18" s="15" t="s">
        <v>159</v>
      </c>
      <c r="B18" s="15">
        <f>COUNTIF(O4:O11,"Escalated")</f>
        <v>1</v>
      </c>
    </row>
    <row r="19" spans="1:6">
      <c r="A19" s="15" t="s">
        <v>160</v>
      </c>
      <c r="B19" s="15">
        <f>AVERAGE(K4:K11)</f>
        <v>32.25</v>
      </c>
    </row>
    <row r="22" spans="1:6" ht="16">
      <c r="A22" s="45" t="s">
        <v>161</v>
      </c>
      <c r="B22" s="45"/>
      <c r="C22" s="45"/>
      <c r="D22" s="45"/>
      <c r="E22" s="45"/>
      <c r="F22" s="45"/>
    </row>
    <row r="23" spans="1:6">
      <c r="B23" s="39" t="s">
        <v>162</v>
      </c>
      <c r="C23" s="39" t="s">
        <v>163</v>
      </c>
      <c r="D23" s="39" t="s">
        <v>164</v>
      </c>
      <c r="E23" s="39" t="s">
        <v>165</v>
      </c>
    </row>
    <row r="24" spans="1:6" ht="18">
      <c r="A24" s="35" t="s">
        <v>166</v>
      </c>
      <c r="B24" s="40">
        <v>5</v>
      </c>
      <c r="C24" s="40">
        <v>10</v>
      </c>
      <c r="D24" s="41">
        <v>15</v>
      </c>
      <c r="E24" s="41">
        <v>20</v>
      </c>
    </row>
    <row r="25" spans="1:6" ht="18">
      <c r="A25" s="35" t="s">
        <v>167</v>
      </c>
      <c r="B25" s="42">
        <v>4</v>
      </c>
      <c r="C25" s="40">
        <v>8</v>
      </c>
      <c r="D25" s="40">
        <v>12</v>
      </c>
      <c r="E25" s="41">
        <v>16</v>
      </c>
    </row>
    <row r="26" spans="1:6" ht="18">
      <c r="A26" s="35" t="s">
        <v>168</v>
      </c>
      <c r="B26" s="42">
        <v>3</v>
      </c>
      <c r="C26" s="42">
        <v>6</v>
      </c>
      <c r="D26" s="40">
        <v>9</v>
      </c>
      <c r="E26" s="40">
        <v>12</v>
      </c>
    </row>
    <row r="27" spans="1:6" ht="18">
      <c r="A27" s="35" t="s">
        <v>169</v>
      </c>
      <c r="B27" s="43">
        <v>2</v>
      </c>
      <c r="C27" s="42">
        <v>4</v>
      </c>
      <c r="D27" s="42">
        <v>6</v>
      </c>
      <c r="E27" s="40">
        <v>8</v>
      </c>
    </row>
    <row r="28" spans="1:6" ht="18">
      <c r="A28" s="35" t="s">
        <v>170</v>
      </c>
      <c r="B28" s="43">
        <v>1</v>
      </c>
      <c r="C28" s="43">
        <v>2</v>
      </c>
      <c r="D28" s="42">
        <v>3</v>
      </c>
      <c r="E28" s="42">
        <v>4</v>
      </c>
    </row>
  </sheetData>
  <mergeCells count="3">
    <mergeCell ref="A1:N1"/>
    <mergeCell ref="A13:D13"/>
    <mergeCell ref="A22:F22"/>
  </mergeCells>
  <conditionalFormatting sqref="E4:E11">
    <cfRule type="cellIs" dxfId="8" priority="6" operator="equal">
      <formula>"Critical"</formula>
    </cfRule>
    <cfRule type="cellIs" dxfId="7" priority="7" operator="equal">
      <formula>"High"</formula>
    </cfRule>
  </conditionalFormatting>
  <conditionalFormatting sqref="K4:K11">
    <cfRule type="cellIs" dxfId="6" priority="2" operator="greaterThanOrEqual">
      <formula>48</formula>
    </cfRule>
    <cfRule type="cellIs" dxfId="5" priority="3" operator="between">
      <formula>24</formula>
      <formula>47</formula>
    </cfRule>
    <cfRule type="cellIs" dxfId="4" priority="4" operator="between">
      <formula>8</formula>
      <formula>23</formula>
    </cfRule>
    <cfRule type="cellIs" dxfId="3" priority="5" operator="lessThan">
      <formula>8</formula>
    </cfRule>
  </conditionalFormatting>
  <conditionalFormatting sqref="O4:O11">
    <cfRule type="cellIs" dxfId="2" priority="8" operator="equal">
      <formula>"Open"</formula>
    </cfRule>
    <cfRule type="cellIs" dxfId="1" priority="9" operator="equal">
      <formula>"Escalated"</formula>
    </cfRule>
    <cfRule type="cellIs" dxfId="0" priority="10" operator="equal">
      <formula>"Resolved"</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400-000000000000}">
          <x14:formula1>
            <xm:f>Config!$E$4:$E$7</xm:f>
          </x14:formula1>
          <x14:formula2>
            <xm:f>0</xm:f>
          </x14:formula2>
          <xm:sqref>E4:E11 G4:G11</xm:sqref>
        </x14:dataValidation>
        <x14:dataValidation type="list" allowBlank="1" xr:uid="{00000000-0002-0000-0400-000001000000}">
          <x14:formula1>
            <xm:f>Config!$G$4:$G$8</xm:f>
          </x14:formula1>
          <x14:formula2>
            <xm:f>0</xm:f>
          </x14:formula2>
          <xm:sqref>F4:F11</xm:sqref>
        </x14:dataValidation>
        <x14:dataValidation type="list" allowBlank="1" xr:uid="{00000000-0002-0000-0400-000003000000}">
          <x14:formula1>
            <xm:f>Config!$F$4:$F$8</xm:f>
          </x14:formula1>
          <x14:formula2>
            <xm:f>0</xm:f>
          </x14:formula2>
          <xm:sqref>O4:O11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H50"/>
  <sheetViews>
    <sheetView zoomScaleNormal="100" workbookViewId="0">
      <selection sqref="A1:H1"/>
    </sheetView>
  </sheetViews>
  <sheetFormatPr baseColWidth="10" defaultColWidth="8.6640625" defaultRowHeight="15"/>
  <cols>
    <col min="1" max="1" width="35" customWidth="1"/>
    <col min="2" max="2" width="45" customWidth="1"/>
    <col min="3" max="8" width="18" customWidth="1"/>
  </cols>
  <sheetData>
    <row r="1" spans="1:8" ht="20">
      <c r="A1" s="1" t="s">
        <v>171</v>
      </c>
      <c r="B1" s="1"/>
      <c r="C1" s="1"/>
      <c r="D1" s="1"/>
      <c r="E1" s="1"/>
      <c r="F1" s="1"/>
      <c r="G1" s="1"/>
      <c r="H1" s="1"/>
    </row>
    <row r="2" spans="1:8">
      <c r="A2" s="15" t="s">
        <v>172</v>
      </c>
      <c r="B2" t="s">
        <v>3</v>
      </c>
      <c r="C2" s="15" t="s">
        <v>173</v>
      </c>
      <c r="D2">
        <v>2026</v>
      </c>
    </row>
    <row r="4" spans="1:8" ht="16">
      <c r="A4" s="12" t="s">
        <v>174</v>
      </c>
      <c r="B4" s="12"/>
      <c r="C4" s="12"/>
      <c r="D4" s="12"/>
      <c r="E4" s="12"/>
      <c r="F4" s="12"/>
      <c r="G4" s="12"/>
      <c r="H4" s="12"/>
    </row>
    <row r="5" spans="1:8">
      <c r="A5" s="21" t="s">
        <v>175</v>
      </c>
      <c r="B5" s="21">
        <f>COUNTIFS('Danh Sách Dự Án'!I5:I10,"&lt;&gt;Completed")</f>
        <v>6</v>
      </c>
    </row>
    <row r="6" spans="1:8">
      <c r="A6" s="26" t="s">
        <v>176</v>
      </c>
      <c r="B6" s="26">
        <f>COUNTIF('Danh Sách Dự Án'!I5:I10,"On Track")</f>
        <v>3</v>
      </c>
    </row>
    <row r="7" spans="1:8">
      <c r="A7" s="21" t="s">
        <v>177</v>
      </c>
      <c r="B7" s="21">
        <f>COUNTIF('Danh Sách Dự Án'!I5:I10,"At Risk")</f>
        <v>0</v>
      </c>
    </row>
    <row r="8" spans="1:8">
      <c r="A8" s="26" t="s">
        <v>178</v>
      </c>
      <c r="B8" s="26">
        <f>COUNTIF('Danh Sách Dự Án'!I5:I10,"Delayed")</f>
        <v>2</v>
      </c>
    </row>
    <row r="9" spans="1:8">
      <c r="A9" s="21" t="s">
        <v>179</v>
      </c>
      <c r="B9" s="21">
        <f>COUNTIF('Danh Sách Dự Án'!I5:I10,"Completed")</f>
        <v>0</v>
      </c>
    </row>
    <row r="10" spans="1:8">
      <c r="A10" s="26" t="s">
        <v>180</v>
      </c>
      <c r="B10" s="28">
        <f>IFERROR(COUNTIF('Danh Sách Dự Án'!I5:I10,"On Track")/COUNTA('Danh Sách Dự Án'!I5:I10),0)</f>
        <v>0.5</v>
      </c>
    </row>
    <row r="11" spans="1:8">
      <c r="A11" s="21" t="s">
        <v>181</v>
      </c>
      <c r="B11" s="23">
        <f>'Danh Sách Dự Án'!K11</f>
        <v>0.35833333333333334</v>
      </c>
    </row>
    <row r="13" spans="1:8" ht="16">
      <c r="A13" s="12" t="s">
        <v>182</v>
      </c>
      <c r="B13" s="12"/>
      <c r="C13" s="12"/>
      <c r="D13" s="12"/>
      <c r="E13" s="12"/>
      <c r="F13" s="12"/>
      <c r="G13" s="12"/>
      <c r="H13" s="12"/>
    </row>
    <row r="14" spans="1:8">
      <c r="A14" s="21" t="s">
        <v>183</v>
      </c>
      <c r="B14" s="25">
        <f>'Danh Sách Dự Án'!M11</f>
        <v>11293500000</v>
      </c>
    </row>
    <row r="15" spans="1:8">
      <c r="A15" s="26" t="s">
        <v>184</v>
      </c>
      <c r="B15" s="30">
        <f>'Danh Sách Dự Án'!N11</f>
        <v>344500000</v>
      </c>
    </row>
    <row r="16" spans="1:8">
      <c r="A16" s="21" t="s">
        <v>185</v>
      </c>
      <c r="B16" s="25">
        <f>'Danh Sách Dự Án'!O11</f>
        <v>10949000000</v>
      </c>
    </row>
    <row r="17" spans="1:8">
      <c r="A17" s="26" t="s">
        <v>186</v>
      </c>
      <c r="B17" s="28">
        <f>'Danh Sách Dự Án'!P11</f>
        <v>3.0504272369061849E-2</v>
      </c>
    </row>
    <row r="19" spans="1:8" ht="16">
      <c r="A19" s="12" t="s">
        <v>187</v>
      </c>
      <c r="B19" s="12"/>
      <c r="C19" s="12"/>
      <c r="D19" s="12"/>
      <c r="E19" s="12"/>
      <c r="F19" s="12"/>
      <c r="G19" s="12"/>
      <c r="H19" s="12"/>
    </row>
    <row r="20" spans="1:8">
      <c r="A20" s="21" t="s">
        <v>188</v>
      </c>
      <c r="B20" s="21">
        <f>COUNTIFS('Rủi Ro &amp; Vấn Đề'!O4:O11,"&lt;&gt;Resolved",'Rủi Ro &amp; Vấn Đề'!O4:O11,"&lt;&gt;Closed")</f>
        <v>8</v>
      </c>
    </row>
    <row r="21" spans="1:8">
      <c r="A21" s="26" t="s">
        <v>189</v>
      </c>
      <c r="B21" s="26">
        <f>COUNTIF('Rủi Ro &amp; Vấn Đề'!E4:E11,"Critical")</f>
        <v>2</v>
      </c>
    </row>
    <row r="22" spans="1:8">
      <c r="A22" s="21" t="s">
        <v>190</v>
      </c>
      <c r="B22" s="21">
        <f>COUNTIF('Rủi Ro &amp; Vấn Đề'!O4:O11,"Escalated")</f>
        <v>1</v>
      </c>
    </row>
    <row r="23" spans="1:8">
      <c r="A23" s="26" t="s">
        <v>191</v>
      </c>
      <c r="B23" s="26">
        <f>AVERAGE('Rủi Ro &amp; Vấn Đề'!K4:K11)</f>
        <v>32.25</v>
      </c>
    </row>
    <row r="25" spans="1:8" ht="16">
      <c r="A25" s="12" t="s">
        <v>192</v>
      </c>
      <c r="B25" s="12"/>
      <c r="C25" s="12"/>
      <c r="D25" s="12"/>
      <c r="E25" s="12"/>
      <c r="F25" s="12"/>
      <c r="G25" s="12"/>
      <c r="H25" s="12"/>
    </row>
    <row r="26" spans="1:8">
      <c r="A26" s="21" t="s">
        <v>193</v>
      </c>
      <c r="B26" s="21">
        <f>'Danh Sách Dự Án'!Q11</f>
        <v>55</v>
      </c>
    </row>
    <row r="27" spans="1:8">
      <c r="A27" s="26" t="s">
        <v>194</v>
      </c>
      <c r="B27" s="28">
        <f>'Nhân Sự Dự Án'!H25</f>
        <v>0.94104166666666667</v>
      </c>
    </row>
    <row r="28" spans="1:8">
      <c r="A28" s="21" t="s">
        <v>195</v>
      </c>
      <c r="B28" s="21">
        <f>COUNTIF('Nhân Sự Dự Án'!H4:H21,"&gt;"&amp;1.1)</f>
        <v>2</v>
      </c>
    </row>
    <row r="30" spans="1:8" ht="16">
      <c r="A30" s="47" t="s">
        <v>196</v>
      </c>
      <c r="B30" s="47"/>
      <c r="C30" s="47"/>
      <c r="D30" s="47"/>
      <c r="E30" s="47"/>
      <c r="F30" s="47"/>
      <c r="G30" s="47"/>
      <c r="H30" s="47"/>
    </row>
    <row r="31" spans="1:8">
      <c r="A31" t="s">
        <v>197</v>
      </c>
      <c r="B31" s="48" t="s">
        <v>198</v>
      </c>
      <c r="C31" s="48"/>
      <c r="D31" s="48"/>
      <c r="E31" s="48"/>
      <c r="F31" s="48"/>
      <c r="G31" s="48"/>
      <c r="H31" s="48"/>
    </row>
    <row r="32" spans="1:8">
      <c r="A32" t="s">
        <v>199</v>
      </c>
      <c r="B32" s="48" t="s">
        <v>198</v>
      </c>
      <c r="C32" s="48"/>
      <c r="D32" s="48"/>
      <c r="E32" s="48"/>
      <c r="F32" s="48"/>
      <c r="G32" s="48"/>
      <c r="H32" s="48"/>
    </row>
    <row r="33" spans="1:8">
      <c r="A33" t="s">
        <v>200</v>
      </c>
      <c r="B33" s="48" t="s">
        <v>198</v>
      </c>
      <c r="C33" s="48"/>
      <c r="D33" s="48"/>
      <c r="E33" s="48"/>
      <c r="F33" s="48"/>
      <c r="G33" s="48"/>
      <c r="H33" s="48"/>
    </row>
    <row r="34" spans="1:8">
      <c r="A34" t="s">
        <v>201</v>
      </c>
      <c r="B34" s="48"/>
      <c r="C34" s="48"/>
      <c r="D34" s="48"/>
      <c r="E34" s="48"/>
      <c r="F34" s="48"/>
      <c r="G34" s="48"/>
      <c r="H34" s="48"/>
    </row>
    <row r="35" spans="1:8">
      <c r="A35" t="s">
        <v>202</v>
      </c>
      <c r="B35" s="48"/>
      <c r="C35" s="48"/>
      <c r="D35" s="48"/>
      <c r="E35" s="48"/>
      <c r="F35" s="48"/>
      <c r="G35" s="48"/>
      <c r="H35" s="48"/>
    </row>
    <row r="37" spans="1:8" ht="16">
      <c r="A37" s="49" t="s">
        <v>203</v>
      </c>
      <c r="B37" s="49"/>
      <c r="C37" s="49"/>
      <c r="D37" s="49"/>
      <c r="E37" s="49"/>
      <c r="F37" s="49"/>
      <c r="G37" s="49"/>
      <c r="H37" s="49"/>
    </row>
    <row r="38" spans="1:8">
      <c r="A38" t="s">
        <v>197</v>
      </c>
      <c r="B38" s="48" t="s">
        <v>204</v>
      </c>
      <c r="C38" s="48"/>
      <c r="D38" s="48"/>
      <c r="E38" s="48"/>
      <c r="F38" s="48"/>
      <c r="G38" s="48"/>
      <c r="H38" s="48"/>
    </row>
    <row r="39" spans="1:8">
      <c r="A39" t="s">
        <v>199</v>
      </c>
      <c r="B39" s="48" t="s">
        <v>204</v>
      </c>
      <c r="C39" s="48"/>
      <c r="D39" s="48"/>
      <c r="E39" s="48"/>
      <c r="F39" s="48"/>
      <c r="G39" s="48"/>
      <c r="H39" s="48"/>
    </row>
    <row r="40" spans="1:8">
      <c r="A40" t="s">
        <v>200</v>
      </c>
      <c r="B40" s="48" t="s">
        <v>204</v>
      </c>
      <c r="C40" s="48"/>
      <c r="D40" s="48"/>
      <c r="E40" s="48"/>
      <c r="F40" s="48"/>
      <c r="G40" s="48"/>
      <c r="H40" s="48"/>
    </row>
    <row r="41" spans="1:8">
      <c r="A41" t="s">
        <v>201</v>
      </c>
      <c r="B41" s="48"/>
      <c r="C41" s="48"/>
      <c r="D41" s="48"/>
      <c r="E41" s="48"/>
      <c r="F41" s="48"/>
      <c r="G41" s="48"/>
      <c r="H41" s="48"/>
    </row>
    <row r="42" spans="1:8">
      <c r="A42" t="s">
        <v>202</v>
      </c>
      <c r="B42" s="48"/>
      <c r="C42" s="48"/>
      <c r="D42" s="48"/>
      <c r="E42" s="48"/>
      <c r="F42" s="48"/>
      <c r="G42" s="48"/>
      <c r="H42" s="48"/>
    </row>
    <row r="44" spans="1:8" ht="16">
      <c r="A44" s="50" t="s">
        <v>205</v>
      </c>
      <c r="B44" s="50"/>
      <c r="C44" s="50"/>
      <c r="D44" s="50"/>
      <c r="E44" s="50"/>
      <c r="F44" s="50"/>
      <c r="G44" s="50"/>
      <c r="H44" s="50"/>
    </row>
    <row r="45" spans="1:8">
      <c r="A45" s="20" t="s">
        <v>25</v>
      </c>
      <c r="B45" s="20" t="s">
        <v>206</v>
      </c>
      <c r="C45" s="20" t="s">
        <v>207</v>
      </c>
      <c r="D45" s="20" t="s">
        <v>130</v>
      </c>
      <c r="E45" s="20" t="s">
        <v>22</v>
      </c>
    </row>
    <row r="46" spans="1:8">
      <c r="A46" s="44">
        <v>1</v>
      </c>
      <c r="B46" s="44"/>
      <c r="C46" s="44"/>
      <c r="D46" s="44"/>
      <c r="E46" s="44"/>
    </row>
    <row r="47" spans="1:8">
      <c r="A47" s="44">
        <v>2</v>
      </c>
      <c r="B47" s="44"/>
      <c r="C47" s="44"/>
      <c r="D47" s="44"/>
      <c r="E47" s="44"/>
    </row>
    <row r="48" spans="1:8">
      <c r="A48" s="44">
        <v>3</v>
      </c>
      <c r="B48" s="44"/>
      <c r="C48" s="44"/>
      <c r="D48" s="44"/>
      <c r="E48" s="44"/>
    </row>
    <row r="49" spans="1:5">
      <c r="A49" s="44">
        <v>4</v>
      </c>
      <c r="B49" s="44"/>
      <c r="C49" s="44"/>
      <c r="D49" s="44"/>
      <c r="E49" s="44"/>
    </row>
    <row r="50" spans="1:5">
      <c r="A50" s="44">
        <v>5</v>
      </c>
      <c r="B50" s="44"/>
      <c r="C50" s="44"/>
      <c r="D50" s="44"/>
      <c r="E50" s="44"/>
    </row>
  </sheetData>
  <mergeCells count="18">
    <mergeCell ref="B41:H41"/>
    <mergeCell ref="B42:H42"/>
    <mergeCell ref="A44:H44"/>
    <mergeCell ref="B35:H35"/>
    <mergeCell ref="A37:H37"/>
    <mergeCell ref="B38:H38"/>
    <mergeCell ref="B39:H39"/>
    <mergeCell ref="B40:H40"/>
    <mergeCell ref="A30:H30"/>
    <mergeCell ref="B31:H31"/>
    <mergeCell ref="B32:H32"/>
    <mergeCell ref="B33:H33"/>
    <mergeCell ref="B34:H34"/>
    <mergeCell ref="A1:H1"/>
    <mergeCell ref="A4:H4"/>
    <mergeCell ref="A13:H13"/>
    <mergeCell ref="A19:H19"/>
    <mergeCell ref="A25:H25"/>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xr:uid="{00000000-0002-0000-0500-000000000000}">
          <x14:formula1>
            <xm:f>Config!$A$4:$A$15</xm:f>
          </x14:formula1>
          <x14:formula2>
            <xm:f>0</xm:f>
          </x14:formula2>
          <xm:sqref>B2</xm:sqref>
        </x14:dataValidation>
        <x14:dataValidation type="list" xr:uid="{00000000-0002-0000-0500-000001000000}">
          <x14:formula1>
            <xm:f>Config!$B$4:$B$10</xm:f>
          </x14:formula1>
          <x14:formula2>
            <xm:f>0</xm:f>
          </x14:formula2>
          <xm:sqref>D2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H23"/>
  <sheetViews>
    <sheetView zoomScaleNormal="100" workbookViewId="0">
      <selection sqref="A1:D1"/>
    </sheetView>
  </sheetViews>
  <sheetFormatPr baseColWidth="10" defaultColWidth="8.6640625" defaultRowHeight="15"/>
  <cols>
    <col min="1" max="8" width="18" customWidth="1"/>
  </cols>
  <sheetData>
    <row r="1" spans="1:8" ht="20">
      <c r="A1" s="1" t="s">
        <v>208</v>
      </c>
      <c r="B1" s="1"/>
      <c r="C1" s="1"/>
      <c r="D1" s="1"/>
    </row>
    <row r="3" spans="1:8" ht="30">
      <c r="A3" s="20" t="s">
        <v>209</v>
      </c>
      <c r="B3" s="20" t="s">
        <v>210</v>
      </c>
      <c r="C3" s="20" t="s">
        <v>211</v>
      </c>
      <c r="D3" s="20" t="s">
        <v>41</v>
      </c>
      <c r="E3" s="20" t="s">
        <v>121</v>
      </c>
      <c r="F3" s="20" t="s">
        <v>212</v>
      </c>
      <c r="G3" s="20" t="s">
        <v>122</v>
      </c>
      <c r="H3" s="20" t="s">
        <v>213</v>
      </c>
    </row>
    <row r="4" spans="1:8">
      <c r="A4" t="s">
        <v>214</v>
      </c>
      <c r="B4">
        <v>2024</v>
      </c>
      <c r="C4" t="s">
        <v>7</v>
      </c>
      <c r="D4" t="s">
        <v>19</v>
      </c>
      <c r="E4" t="s">
        <v>19</v>
      </c>
      <c r="F4" t="s">
        <v>134</v>
      </c>
      <c r="G4" t="s">
        <v>136</v>
      </c>
      <c r="H4" t="s">
        <v>82</v>
      </c>
    </row>
    <row r="5" spans="1:8">
      <c r="A5" t="s">
        <v>215</v>
      </c>
      <c r="B5">
        <v>2025</v>
      </c>
      <c r="C5" t="s">
        <v>8</v>
      </c>
      <c r="D5" t="s">
        <v>46</v>
      </c>
      <c r="E5" t="s">
        <v>46</v>
      </c>
      <c r="F5" t="s">
        <v>138</v>
      </c>
      <c r="G5" t="s">
        <v>132</v>
      </c>
      <c r="H5" t="s">
        <v>84</v>
      </c>
    </row>
    <row r="6" spans="1:8">
      <c r="A6" t="s">
        <v>3</v>
      </c>
      <c r="B6">
        <v>2026</v>
      </c>
      <c r="C6" t="s">
        <v>9</v>
      </c>
      <c r="D6" t="s">
        <v>54</v>
      </c>
      <c r="E6" t="s">
        <v>54</v>
      </c>
      <c r="F6" t="s">
        <v>216</v>
      </c>
      <c r="G6" t="s">
        <v>142</v>
      </c>
      <c r="H6" t="s">
        <v>217</v>
      </c>
    </row>
    <row r="7" spans="1:8">
      <c r="A7" t="s">
        <v>218</v>
      </c>
      <c r="B7">
        <v>2027</v>
      </c>
      <c r="C7" t="s">
        <v>10</v>
      </c>
      <c r="D7" t="s">
        <v>219</v>
      </c>
      <c r="E7" t="s">
        <v>219</v>
      </c>
      <c r="F7" t="s">
        <v>220</v>
      </c>
      <c r="G7" t="s">
        <v>145</v>
      </c>
      <c r="H7" t="s">
        <v>83</v>
      </c>
    </row>
    <row r="8" spans="1:8">
      <c r="A8" t="s">
        <v>221</v>
      </c>
      <c r="B8">
        <v>2028</v>
      </c>
      <c r="C8" t="s">
        <v>222</v>
      </c>
      <c r="F8" t="s">
        <v>151</v>
      </c>
      <c r="G8" t="s">
        <v>223</v>
      </c>
    </row>
    <row r="9" spans="1:8">
      <c r="A9" t="s">
        <v>224</v>
      </c>
      <c r="B9">
        <v>2029</v>
      </c>
    </row>
    <row r="10" spans="1:8">
      <c r="A10" t="s">
        <v>225</v>
      </c>
      <c r="B10">
        <v>2030</v>
      </c>
    </row>
    <row r="11" spans="1:8">
      <c r="A11" t="s">
        <v>226</v>
      </c>
    </row>
    <row r="12" spans="1:8">
      <c r="A12" t="s">
        <v>227</v>
      </c>
    </row>
    <row r="13" spans="1:8">
      <c r="A13" t="s">
        <v>228</v>
      </c>
    </row>
    <row r="14" spans="1:8">
      <c r="A14" t="s">
        <v>229</v>
      </c>
    </row>
    <row r="15" spans="1:8">
      <c r="A15" t="s">
        <v>230</v>
      </c>
    </row>
    <row r="18" spans="1:2" ht="16">
      <c r="A18" s="19" t="s">
        <v>231</v>
      </c>
    </row>
    <row r="19" spans="1:2">
      <c r="A19" s="15" t="s">
        <v>232</v>
      </c>
      <c r="B19" s="15" t="s">
        <v>233</v>
      </c>
    </row>
    <row r="20" spans="1:2">
      <c r="A20" t="s">
        <v>19</v>
      </c>
      <c r="B20">
        <v>4</v>
      </c>
    </row>
    <row r="21" spans="1:2">
      <c r="A21" t="s">
        <v>46</v>
      </c>
      <c r="B21">
        <v>3</v>
      </c>
    </row>
    <row r="22" spans="1:2">
      <c r="A22" t="s">
        <v>54</v>
      </c>
      <c r="B22">
        <v>2</v>
      </c>
    </row>
    <row r="23" spans="1:2">
      <c r="A23" t="s">
        <v>219</v>
      </c>
      <c r="B23">
        <v>1</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Danh Sách Dự Án</vt:lpstr>
      <vt:lpstr>Tiến Độ Hợp Đồng</vt:lpstr>
      <vt:lpstr>Nhân Sự Dự Án</vt:lpstr>
      <vt:lpstr>Rủi Ro &amp; Vấn Đề</vt:lpstr>
      <vt:lpstr>Báo Cáo Tháng</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Đạt Trần Tiến</cp:lastModifiedBy>
  <cp:revision>1</cp:revision>
  <dcterms:created xsi:type="dcterms:W3CDTF">2026-03-14T01:39:16Z</dcterms:created>
  <dcterms:modified xsi:type="dcterms:W3CDTF">2026-03-14T02:32:54Z</dcterms:modified>
  <dc:language>vi-VN</dc:language>
</cp:coreProperties>
</file>